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e9fc1c09a548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121dea417e64bf5"/>
    <x:sheet xmlns:r="http://schemas.openxmlformats.org/officeDocument/2006/relationships" name="Calibration" sheetId="2" r:id="R644358c8dc4c4f11"/>
    <x:sheet xmlns:r="http://schemas.openxmlformats.org/officeDocument/2006/relationships" name="Candidates" sheetId="3" r:id="R5cdec396476b4edd"/>
    <x:sheet xmlns:r="http://schemas.openxmlformats.org/officeDocument/2006/relationships" name="P2_P3_Math" sheetId="4" r:id="Rc4dcedbe72024af4"/>
    <x:sheet xmlns:r="http://schemas.openxmlformats.org/officeDocument/2006/relationships" name="Protocol_Sources" sheetId="5" r:id="Rc2b08207369f45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000"/>
    <x:numFmt numFmtId="201" formatCode="0"/>
    <x:numFmt numFmtId="202" formatCode="0.00x"/>
    <x:numFmt numFmtId="203" formatCode="#,##0"/>
    <x:numFmt numFmtId="204" formatCode="0.0"/>
    <x:numFmt numFmtId="205" formatCode="0.000000000"/>
  </x:numFmts>
  <x:fonts count="10">
    <x:font>
      <x:sz val="11"/>
      <x:name val="Carlito"/>
    </x:font>
    <x:font>
      <x:b/>
      <x:sz val="18"/>
      <x:color rgb="FFFFFFFF"/>
      <x:name val="Arial"/>
    </x:font>
    <x:font>
      <x:sz val="10"/>
      <x:color rgb="FF596574"/>
      <x:name val="Arial"/>
    </x:font>
    <x:font>
      <x:b/>
      <x:sz val="11"/>
      <x:color rgb="FFFFFFFF"/>
      <x:name val="Arial"/>
    </x:font>
    <x:font>
      <x:b/>
      <x:sz val="9"/>
      <x:color rgb="FF17324D"/>
      <x:name val="Carlito"/>
    </x:font>
    <x:font>
      <x:b/>
      <x:sz val="9"/>
      <x:color rgb="FF276749"/>
      <x:name val="Carlito"/>
    </x:font>
    <x:font>
      <x:b/>
      <x:sz val="9"/>
      <x:color rgb="FF17324D"/>
      <x:name val="Arial"/>
    </x:font>
    <x:font>
      <x:sz val="9"/>
      <x:color rgb="FF17324D"/>
      <x:name val="Arial"/>
    </x:font>
    <x:font>
      <x:b/>
      <x:sz val="9"/>
      <x:color rgb="FF2E74B5"/>
      <x:name val="Arial"/>
    </x:font>
    <x:font>
      <x:b/>
      <x:sz val="9"/>
      <x:color rgb="FF8A5A00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E8F5EC"/>
      </x:patternFill>
    </x:fill>
    <x:fill>
      <x:patternFill patternType="solid">
        <x:fgColor rgb="FFFFF4D6"/>
      </x:patternFill>
    </x:fill>
    <x:fill>
      <x:patternFill patternType="solid">
        <x:fgColor rgb="FFF4F8FC"/>
      </x:patternFill>
    </x:fill>
    <x:fill>
      <x:patternFill patternType="solid">
        <x:fgColor rgb="FFF2FAF5"/>
      </x:patternFill>
    </x:fill>
    <x:fill>
      <x:patternFill patternType="solid">
        <x:fgColor rgb="FFFFF9ED"/>
      </x:patternFill>
    </x:fill>
  </x:fills>
  <x:borders count="4">
    <x:border/>
    <x:border>
      <x:bottom style="thin">
        <x:color rgb="FFD6DCE5"/>
      </x:bottom>
    </x:border>
    <x:border>
      <x:top style="thin">
        <x:color rgb="FFD6DCE5"/>
      </x:top>
      <x:bottom style="thin">
        <x:color rgb="FFD6DCE5"/>
      </x:bottom>
    </x:border>
    <x:border>
      <x:left style="thin">
        <x:color rgb="FFD6DCE5"/>
      </x:left>
      <x:right style="thin">
        <x:color rgb="FFD6DCE5"/>
      </x:right>
      <x:top style="thin">
        <x:color rgb="FFD6DCE5"/>
      </x:top>
      <x:bottom style="thin">
        <x:color rgb="FFD6DCE5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6" borderId="0" xfId="0" applyNumberFormat="1" applyFont="1" applyFill="1" applyBorder="1"/>
    <x:xf numFmtId="0" fontId="5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5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5" borderId="1" xfId="0" applyNumberFormat="1" applyFont="1" applyFill="1" applyBorder="1"/>
    <x:xf numFmtId="0" fontId="6" fillId="6" borderId="1" xfId="0" applyNumberFormat="1" applyFont="1" applyFill="1" applyBorder="1"/>
    <x:xf numFmtId="0" fontId="6" fillId="5" borderId="2" xfId="0" applyNumberFormat="1" applyFont="1" applyFill="1" applyBorder="1"/>
    <x:xf numFmtId="0" fontId="6" fillId="6" borderId="2" xfId="0" applyNumberFormat="1" applyFont="1" applyFill="1" applyBorder="1"/>
    <x:xf numFmtId="0" fontId="6" fillId="6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5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5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6" fillId="5" borderId="2" xfId="0" applyNumberFormat="1" applyFont="1" applyFill="1" applyBorder="1" applyAlignment="1">
      <x:alignment vertical="center" wrapText="1"/>
    </x:xf>
    <x:xf numFmtId="0" fontId="6" fillId="6" borderId="2" xfId="0" applyNumberFormat="1" applyFont="1" applyFill="1" applyBorder="1" applyAlignment="1">
      <x:alignment vertical="center" wrapText="1"/>
    </x:xf>
    <x:xf numFmtId="0" fontId="6" fillId="6" borderId="2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200" fontId="4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20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20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center" wrapText="1"/>
    </x:xf>
    <x:xf numFmtId="200" fontId="6" fillId="3" borderId="2" xfId="0" applyNumberFormat="1" applyFont="1" applyFill="1" applyBorder="1" applyAlignment="1">
      <x:alignment vertical="center" wrapText="1"/>
    </x:xf>
    <x:xf numFmtId="0" fontId="6" fillId="3" borderId="2" xfId="0" applyNumberFormat="1" applyFont="1" applyFill="1" applyBorder="1" applyAlignment="1">
      <x:alignment vertical="center" wrapText="1"/>
    </x:xf>
    <x:xf numFmtId="0" fontId="6" fillId="5" borderId="3" xfId="0" applyNumberFormat="1" applyFont="1" applyFill="1" applyBorder="1"/>
    <x:xf numFmtId="0" fontId="6" fillId="5" borderId="3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horizontal="center" wrapText="1"/>
    </x:xf>
    <x:xf numFmtId="0" fontId="6" fillId="5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0" borderId="2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</x:xf>
    <x:xf numFmtId="201" fontId="7" fillId="0" borderId="2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7" fillId="5" borderId="2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 applyAlignment="1">
      <x:alignment vertical="center" wrapText="1"/>
    </x:xf>
    <x:xf numFmtId="0" fontId="8" fillId="5" borderId="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/>
    </x:xf>
    <x:xf numFmtId="0" fontId="6" fillId="7" borderId="1" xfId="0" applyNumberFormat="1" applyFont="1" applyFill="1" applyBorder="1" applyAlignment="1">
      <x:alignment horizontal="center"/>
    </x:xf>
    <x:xf numFmtId="0" fontId="6" fillId="7" borderId="2" xfId="0" applyNumberFormat="1" applyFont="1" applyFill="1" applyBorder="1" applyAlignment="1">
      <x:alignment horizontal="center"/>
    </x:xf>
    <x:xf numFmtId="0" fontId="6" fillId="7" borderId="1" xfId="0" applyNumberFormat="1" applyFont="1" applyFill="1" applyBorder="1" applyAlignment="1">
      <x:alignment horizontal="center" wrapText="1"/>
    </x:xf>
    <x:xf numFmtId="0" fontId="6" fillId="7" borderId="2" xfId="0" applyNumberFormat="1" applyFont="1" applyFill="1" applyBorder="1" applyAlignment="1">
      <x:alignment horizont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6" fillId="7" borderId="2" xfId="0" applyNumberFormat="1" applyFont="1" applyFill="1" applyBorder="1" applyAlignment="1">
      <x:alignment horizontal="center" vertical="center" wrapText="1"/>
    </x:xf>
    <x:xf numFmtId="201" fontId="5" fillId="6" borderId="0" xfId="0" applyNumberFormat="1" applyFont="1" applyFill="1" applyBorder="1"/>
    <x:xf numFmtId="201" fontId="6" fillId="6" borderId="0" xfId="0" applyNumberFormat="1" applyFont="1" applyFill="1" applyBorder="1"/>
    <x:xf numFmtId="201" fontId="6" fillId="6" borderId="1" xfId="0" applyNumberFormat="1" applyFont="1" applyFill="1" applyBorder="1"/>
    <x:xf numFmtId="201" fontId="6" fillId="6" borderId="2" xfId="0" applyNumberFormat="1" applyFont="1" applyFill="1" applyBorder="1"/>
    <x:xf numFmtId="201" fontId="6" fillId="6" borderId="1" xfId="0" applyNumberFormat="1" applyFont="1" applyFill="1" applyBorder="1" applyAlignment="1">
      <x:alignment wrapText="1"/>
    </x:xf>
    <x:xf numFmtId="201" fontId="6" fillId="6" borderId="2" xfId="0" applyNumberFormat="1" applyFont="1" applyFill="1" applyBorder="1" applyAlignment="1">
      <x:alignment wrapText="1"/>
    </x:xf>
    <x:xf numFmtId="201" fontId="6" fillId="6" borderId="1" xfId="0" applyNumberFormat="1" applyFont="1" applyFill="1" applyBorder="1" applyAlignment="1">
      <x:alignment vertical="center" wrapText="1"/>
    </x:xf>
    <x:xf numFmtId="201" fontId="6" fillId="6" borderId="2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 applyAlignment="1">
      <x:alignment vertical="center" wrapText="1"/>
    </x:xf>
    <x:xf numFmtId="200" fontId="7" fillId="0" borderId="2" xfId="0" applyNumberFormat="1" applyFont="1" applyFill="1" applyBorder="1" applyAlignment="1">
      <x:alignment vertical="center" wrapText="1"/>
    </x:xf>
    <x:xf numFmtId="202" fontId="7" fillId="0" borderId="1" xfId="0" applyNumberFormat="1" applyFont="1" applyFill="1" applyBorder="1" applyAlignment="1">
      <x:alignment vertical="center" wrapText="1"/>
    </x:xf>
    <x:xf numFmtId="202" fontId="7" fillId="0" borderId="2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horizontal="center"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horizontal="right" vertical="center" wrapText="1"/>
    </x:xf>
    <x:xf numFmtId="0" fontId="7" fillId="0" borderId="2" xfId="0" applyNumberFormat="1" applyFont="1" applyFill="1" applyBorder="1" applyAlignment="1">
      <x:alignment horizontal="right" vertical="center" wrapText="1"/>
    </x:xf>
    <x:xf numFmtId="203" fontId="7" fillId="0" borderId="1" xfId="0" applyNumberFormat="1" applyFont="1" applyFill="1" applyBorder="1" applyAlignment="1">
      <x:alignment horizontal="right" vertical="center" wrapText="1"/>
    </x:xf>
    <x:xf numFmtId="203" fontId="7" fillId="0" borderId="2" xfId="0" applyNumberFormat="1" applyFont="1" applyFill="1" applyBorder="1" applyAlignment="1">
      <x:alignment horizontal="right" vertical="center" wrapText="1"/>
    </x:xf>
    <x:xf numFmtId="204" fontId="7" fillId="0" borderId="1" xfId="0" applyNumberFormat="1" applyFont="1" applyFill="1" applyBorder="1" applyAlignment="1">
      <x:alignment horizontal="right" vertical="center" wrapText="1"/>
    </x:xf>
    <x:xf numFmtId="204" fontId="7" fillId="0" borderId="2" xfId="0" applyNumberFormat="1" applyFont="1" applyFill="1" applyBorder="1" applyAlignment="1">
      <x:alignment horizontal="right" vertical="center" wrapText="1"/>
    </x:xf>
    <x:xf numFmtId="0" fontId="7" fillId="8" borderId="1" xfId="0" applyNumberFormat="1" applyFont="1" applyFill="1" applyBorder="1" applyAlignment="1">
      <x:alignment horizontal="center" vertical="center" wrapText="1"/>
    </x:xf>
    <x:xf numFmtId="0" fontId="7" fillId="8" borderId="1" xfId="0" applyNumberFormat="1" applyFont="1" applyFill="1" applyBorder="1" applyAlignment="1">
      <x:alignment vertical="center" wrapText="1"/>
    </x:xf>
    <x:xf numFmtId="203" fontId="7" fillId="8" borderId="1" xfId="0" applyNumberFormat="1" applyFont="1" applyFill="1" applyBorder="1" applyAlignment="1">
      <x:alignment horizontal="right" vertical="center" wrapText="1"/>
    </x:xf>
    <x:xf numFmtId="204" fontId="7" fillId="8" borderId="1" xfId="0" applyNumberFormat="1" applyFont="1" applyFill="1" applyBorder="1" applyAlignment="1">
      <x:alignment horizontal="right" vertical="center" wrapText="1"/>
    </x:xf>
    <x:xf numFmtId="0" fontId="7" fillId="8" borderId="1" xfId="0" applyNumberFormat="1" applyFont="1" applyFill="1" applyBorder="1" applyAlignment="1">
      <x:alignment horizontal="right" vertical="center" wrapText="1"/>
    </x:xf>
    <x:xf numFmtId="200" fontId="7" fillId="8" borderId="1" xfId="0" applyNumberFormat="1" applyFont="1" applyFill="1" applyBorder="1" applyAlignment="1">
      <x:alignment vertical="center" wrapText="1"/>
    </x:xf>
    <x:xf numFmtId="0" fontId="7" fillId="8" borderId="2" xfId="0" applyNumberFormat="1" applyFont="1" applyFill="1" applyBorder="1" applyAlignment="1">
      <x:alignment horizontal="center" vertical="center" wrapText="1"/>
    </x:xf>
    <x:xf numFmtId="0" fontId="7" fillId="8" borderId="2" xfId="0" applyNumberFormat="1" applyFont="1" applyFill="1" applyBorder="1" applyAlignment="1">
      <x:alignment vertical="center" wrapText="1"/>
    </x:xf>
    <x:xf numFmtId="203" fontId="7" fillId="8" borderId="2" xfId="0" applyNumberFormat="1" applyFont="1" applyFill="1" applyBorder="1" applyAlignment="1">
      <x:alignment horizontal="right" vertical="center" wrapText="1"/>
    </x:xf>
    <x:xf numFmtId="204" fontId="7" fillId="8" borderId="2" xfId="0" applyNumberFormat="1" applyFont="1" applyFill="1" applyBorder="1" applyAlignment="1">
      <x:alignment horizontal="right" vertical="center" wrapText="1"/>
    </x:xf>
    <x:xf numFmtId="0" fontId="7" fillId="8" borderId="2" xfId="0" applyNumberFormat="1" applyFont="1" applyFill="1" applyBorder="1" applyAlignment="1">
      <x:alignment horizontal="right" vertical="center" wrapText="1"/>
    </x:xf>
    <x:xf numFmtId="200" fontId="7" fillId="8" borderId="2" xfId="0" applyNumberFormat="1" applyFont="1" applyFill="1" applyBorder="1" applyAlignment="1">
      <x:alignment vertical="center" wrapText="1"/>
    </x:xf>
    <x:xf numFmtId="0" fontId="7" fillId="9" borderId="2" xfId="0" applyNumberFormat="1" applyFont="1" applyFill="1" applyBorder="1" applyAlignment="1">
      <x:alignment horizontal="center" vertical="center" wrapText="1"/>
    </x:xf>
    <x:xf numFmtId="0" fontId="7" fillId="9" borderId="2" xfId="0" applyNumberFormat="1" applyFont="1" applyFill="1" applyBorder="1" applyAlignment="1">
      <x:alignment vertical="center" wrapText="1"/>
    </x:xf>
    <x:xf numFmtId="203" fontId="7" fillId="9" borderId="2" xfId="0" applyNumberFormat="1" applyFont="1" applyFill="1" applyBorder="1" applyAlignment="1">
      <x:alignment horizontal="right" vertical="center" wrapText="1"/>
    </x:xf>
    <x:xf numFmtId="204" fontId="7" fillId="9" borderId="2" xfId="0" applyNumberFormat="1" applyFont="1" applyFill="1" applyBorder="1" applyAlignment="1">
      <x:alignment horizontal="right" vertical="center" wrapText="1"/>
    </x:xf>
    <x:xf numFmtId="0" fontId="7" fillId="9" borderId="2" xfId="0" applyNumberFormat="1" applyFont="1" applyFill="1" applyBorder="1" applyAlignment="1">
      <x:alignment horizontal="right" vertical="center" wrapText="1"/>
    </x:xf>
    <x:xf numFmtId="200" fontId="7" fillId="9" borderId="2" xfId="0" applyNumberFormat="1" applyFont="1" applyFill="1" applyBorder="1" applyAlignment="1">
      <x:alignment vertical="center" wrapText="1"/>
    </x:xf>
    <x:xf numFmtId="0" fontId="7" fillId="10" borderId="2" xfId="0" applyNumberFormat="1" applyFont="1" applyFill="1" applyBorder="1" applyAlignment="1">
      <x:alignment horizontal="center" vertical="center" wrapText="1"/>
    </x:xf>
    <x:xf numFmtId="0" fontId="7" fillId="10" borderId="2" xfId="0" applyNumberFormat="1" applyFont="1" applyFill="1" applyBorder="1" applyAlignment="1">
      <x:alignment vertical="center" wrapText="1"/>
    </x:xf>
    <x:xf numFmtId="203" fontId="7" fillId="10" borderId="2" xfId="0" applyNumberFormat="1" applyFont="1" applyFill="1" applyBorder="1" applyAlignment="1">
      <x:alignment horizontal="right" vertical="center" wrapText="1"/>
    </x:xf>
    <x:xf numFmtId="204" fontId="7" fillId="10" borderId="2" xfId="0" applyNumberFormat="1" applyFont="1" applyFill="1" applyBorder="1" applyAlignment="1">
      <x:alignment horizontal="right" vertical="center" wrapText="1"/>
    </x:xf>
    <x:xf numFmtId="0" fontId="7" fillId="10" borderId="2" xfId="0" applyNumberFormat="1" applyFont="1" applyFill="1" applyBorder="1" applyAlignment="1">
      <x:alignment horizontal="right" vertical="center" wrapText="1"/>
    </x:xf>
    <x:xf numFmtId="200" fontId="7" fillId="10" borderId="2" xfId="0" applyNumberFormat="1" applyFont="1" applyFill="1" applyBorder="1" applyAlignment="1">
      <x:alignment vertical="center" wrapText="1"/>
    </x:xf>
    <x:xf numFmtId="203" fontId="7" fillId="0" borderId="1" xfId="0" applyNumberFormat="1" applyFont="1" applyFill="1" applyBorder="1" applyAlignment="1">
      <x:alignment vertical="center" wrapText="1"/>
    </x:xf>
    <x:xf numFmtId="203" fontId="7" fillId="0" borderId="2" xfId="0" applyNumberFormat="1" applyFont="1" applyFill="1" applyBorder="1" applyAlignment="1">
      <x:alignment vertical="center" wrapText="1"/>
    </x:xf>
    <x:xf numFmtId="205" fontId="7" fillId="0" borderId="1" xfId="0" applyNumberFormat="1" applyFont="1" applyFill="1" applyBorder="1" applyAlignment="1">
      <x:alignment vertical="center" wrapText="1"/>
    </x:xf>
    <x:xf numFmtId="205" fontId="7" fillId="0" borderId="2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wrapText="1"/>
    </x:xf>
    <x:xf numFmtId="205" fontId="4" fillId="3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205" fontId="6" fillId="3" borderId="0" xfId="0" applyNumberFormat="1" applyFont="1" applyFill="1" applyBorder="1"/>
    <x:xf numFmtId="205" fontId="6" fillId="3" borderId="2" xfId="0" applyNumberFormat="1" applyFont="1" applyFill="1" applyBorder="1"/>
    <x:xf numFmtId="205" fontId="6" fillId="3" borderId="2" xfId="0" applyNumberFormat="1" applyFont="1" applyFill="1" applyBorder="1" applyAlignment="1">
      <x:alignment wrapText="1"/>
    </x:xf>
    <x:xf numFmtId="205" fontId="6" fillId="3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276749"/>
      </x:font>
      <x:fill>
        <x:patternFill patternType="solid">
          <x:bgColor rgb="FFE8F5EC"/>
        </x:patternFill>
      </x:fill>
    </x:dxf>
    <x:dxf>
      <x:font>
        <x:b/>
        <x:color rgb="FF9B1C1C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5b1bfdf1a64d58" /><Relationship Type="http://schemas.openxmlformats.org/officeDocument/2006/relationships/theme" Target="/xl/theme/theme1.xml" Id="R98900b597f8647a8" /><Relationship Type="http://schemas.microsoft.com/office/2022/11/relationships/FeaturePropertyBag" Target="/xl/featurePropertyBag/featurePropertyBag.xml" Id="R9150148dd42b4007" /><Relationship Type="http://schemas.openxmlformats.org/officeDocument/2006/relationships/sharedStrings" Target="/xl/sharedStrings.xml" Id="Rd29a296202dd43a9" /><Relationship Type="http://schemas.openxmlformats.org/officeDocument/2006/relationships/worksheet" Target="/xl/worksheets/sheet1.xml" Id="R2121dea417e64bf5" /><Relationship Type="http://schemas.openxmlformats.org/officeDocument/2006/relationships/worksheet" Target="/xl/worksheets/sheet2.xml" Id="R644358c8dc4c4f11" /><Relationship Type="http://schemas.openxmlformats.org/officeDocument/2006/relationships/worksheet" Target="/xl/worksheets/sheet3.xml" Id="R5cdec396476b4edd" /><Relationship Type="http://schemas.openxmlformats.org/officeDocument/2006/relationships/worksheet" Target="/xl/worksheets/sheet4.xml" Id="Rc4dcedbe72024af4" /><Relationship Type="http://schemas.openxmlformats.org/officeDocument/2006/relationships/worksheet" Target="/xl/worksheets/sheet5.xml" Id="Rc2b08207369f451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8" hidden="0" customWidth="1"/>
    <x:col min="3" max="3" width="12" hidden="0" customWidth="1"/>
    <x:col min="4" max="4" width="22" hidden="0" customWidth="1"/>
    <x:col min="5" max="5" width="30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4" customHeight="1">
      <x:c r="A1" s="4" t="str">
        <x:v>2026-08-27 Round E · 3×3 구조 연구</x:v>
      </x:c>
      <x:c r="B1" s="4" t="str">
        <x:v>2026-08-27 Round E · 3×3 구조 연구</x:v>
      </x:c>
      <x:c r="C1" s="4" t="str">
        <x:v>2026-08-27 Round E · 3×3 구조 연구</x:v>
      </x:c>
      <x:c r="D1" s="4" t="str">
        <x:v>2026-08-27 Round E · 3×3 구조 연구</x:v>
      </x:c>
      <x:c r="E1" s="4" t="str">
        <x:v>2026-08-27 Round E · 3×3 구조 연구</x:v>
      </x:c>
      <x:c r="F1" s="4" t="str">
        <x:v>2026-08-27 Round E · 3×3 구조 연구</x:v>
      </x:c>
      <x:c r="G1" s="4" t="str">
        <x:v>2026-08-27 Round E · 3×3 구조 연구</x:v>
      </x:c>
      <x:c r="H1" s="4" t="str">
        <x:v>2026-08-27 Round E · 3×3 구조 연구</x:v>
      </x:c>
      <x:c r="I1" s="4" t="str">
        <x:v>2026-08-27 Round E · 3×3 구조 연구</x:v>
      </x:c>
      <x:c r="J1" s="4" t="str">
        <x:v>2026-08-27 Round E · 3×3 구조 연구</x:v>
      </x:c>
    </x:row>
    <x:row r="2" ht="28" customHeight="1">
      <x:c r="A2" s="8" t="str">
        <x:v>분당독고다이 | 로컬–공식 지표 비교, 공식 점수 대수, 다음 날 사전등록 후보</x:v>
      </x:c>
      <x:c r="B2" s="8" t="str">
        <x:v>분당독고다이 | 로컬–공식 지표 비교, 공식 점수 대수, 다음 날 사전등록 후보</x:v>
      </x:c>
      <x:c r="C2" s="8" t="str">
        <x:v>분당독고다이 | 로컬–공식 지표 비교, 공식 점수 대수, 다음 날 사전등록 후보</x:v>
      </x:c>
      <x:c r="D2" s="8" t="str">
        <x:v>분당독고다이 | 로컬–공식 지표 비교, 공식 점수 대수, 다음 날 사전등록 후보</x:v>
      </x:c>
      <x:c r="E2" s="8" t="str">
        <x:v>분당독고다이 | 로컬–공식 지표 비교, 공식 점수 대수, 다음 날 사전등록 후보</x:v>
      </x:c>
      <x:c r="F2" s="8" t="str">
        <x:v>분당독고다이 | 로컬–공식 지표 비교, 공식 점수 대수, 다음 날 사전등록 후보</x:v>
      </x:c>
      <x:c r="G2" s="8" t="str">
        <x:v>분당독고다이 | 로컬–공식 지표 비교, 공식 점수 대수, 다음 날 사전등록 후보</x:v>
      </x:c>
      <x:c r="H2" s="8" t="str">
        <x:v>분당독고다이 | 로컬–공식 지표 비교, 공식 점수 대수, 다음 날 사전등록 후보</x:v>
      </x:c>
      <x:c r="I2" s="8" t="str">
        <x:v>분당독고다이 | 로컬–공식 지표 비교, 공식 점수 대수, 다음 날 사전등록 후보</x:v>
      </x:c>
      <x:c r="J2" s="8" t="str">
        <x:v>분당독고다이 | 로컬–공식 지표 비교, 공식 점수 대수, 다음 날 사전등록 후보</x:v>
      </x:c>
    </x:row>
    <x:row r="4" ht="24" customHeight="1">
      <x:c r="A4" s="11" t="str">
        <x:v>판정 요약</x:v>
      </x:c>
      <x:c r="B4" s="11" t="str">
        <x:v>판정 요약</x:v>
      </x:c>
      <x:c r="C4" s="11" t="str">
        <x:v>판정 요약</x:v>
      </x:c>
      <x:c r="D4" s="11" t="str">
        <x:v>판정 요약</x:v>
      </x:c>
      <x:c r="E4" s="11" t="str">
        <x:v>판정 요약</x:v>
      </x:c>
      <x:c r="F4" s="11" t="str">
        <x:v>판정 요약</x:v>
      </x:c>
      <x:c r="G4" s="11" t="str">
        <x:v>판정 요약</x:v>
      </x:c>
      <x:c r="H4" s="11" t="str">
        <x:v>판정 요약</x:v>
      </x:c>
      <x:c r="I4" s="11" t="str">
        <x:v>판정 요약</x:v>
      </x:c>
      <x:c r="J4" s="11" t="str">
        <x:v>판정 요약</x:v>
      </x:c>
    </x:row>
    <x:row r="5">
      <x:c r="A5" s="32" t="str">
        <x:v>Bundle status</x:v>
      </x:c>
      <x:c r="B5" s="33" t="str">
        <x:v>FROZEN_READY_NOT_UPLOADED</x:v>
      </x:c>
      <x:c r="D5" s="32" t="str">
        <x:v>P1 공식 핵심</x:v>
      </x:c>
      <x:c r="E5" s="45" t="str">
        <x:v>+0.024163 F1 (Router−B)</x:v>
      </x:c>
    </x:row>
    <x:row r="6">
      <x:c r="A6" s="34" t="str">
        <x:v>독립 QA</x:v>
      </x:c>
      <x:c r="B6" s="35" t="str">
        <x:v>PASS · 승인경계 도달</x:v>
      </x:c>
      <x:c r="D6" s="34" t="str">
        <x:v>P2 예상 U RMSE</x:v>
      </x:c>
      <x:c r="E6" s="46" t="n">
        <x:f>'P2_P3_Math'!$B$12</x:f>
        <x:v>0.5357504803611377</x:v>
      </x:c>
    </x:row>
    <x:row r="7">
      <x:c r="A7" s="34" t="str">
        <x:v>후보 수</x:v>
      </x:c>
      <x:c r="B7" s="35" t="n">
        <x:f>COUNTA('Candidates'!$B$6:$B$14)</x:f>
        <x:v>9</x:v>
      </x:c>
      <x:c r="D7" s="34" t="str">
        <x:v>P2 현 최고 대비</x:v>
      </x:c>
      <x:c r="E7" s="46" t="n">
        <x:f>'P2_P3_Math'!$B$14</x:f>
        <x:v>0.0007855196388623087</x:v>
      </x:c>
    </x:row>
    <x:row r="8">
      <x:c r="A8" s="34" t="str">
        <x:v>공식 업로드</x:v>
      </x:c>
      <x:c r="B8" s="35" t="n">
        <x:v>0</x:v>
      </x:c>
      <x:c r="D8" s="34" t="str">
        <x:v>P3 C1 예상 RMSE</x:v>
      </x:c>
      <x:c r="E8" s="46" t="n">
        <x:f>'P2_P3_Math'!$K$8</x:f>
        <x:v>0.5989869937185615</x:v>
      </x:c>
    </x:row>
    <x:row r="9">
      <x:c r="A9" s="34" t="str">
        <x:v>새 승인 필요</x:v>
      </x:c>
      <x:c r="B9" s="36" t="b">
        <x:v>1</x:v>
      </x:c>
      <x:c r="D9" s="34" t="str">
        <x:v>Manifest SHA-256</x:v>
      </x:c>
      <x:c r="E9" s="47" t="str">
        <x:v>7dd80d6288cd957192055916627b6bd31778565defb60f56c9baf078c8d487bc</x:v>
      </x:c>
    </x:row>
    <x:row r="11" ht="24" customHeight="1">
      <x:c r="A11" s="11" t="str">
        <x:v>로컬–공식 운송성</x:v>
      </x:c>
      <x:c r="B11" s="11" t="str">
        <x:v>로컬–공식 운송성</x:v>
      </x:c>
      <x:c r="C11" s="11" t="str">
        <x:v>로컬–공식 운송성</x:v>
      </x:c>
      <x:c r="D11" s="11" t="str">
        <x:v>로컬–공식 운송성</x:v>
      </x:c>
      <x:c r="E11" s="11" t="str">
        <x:v>로컬–공식 운송성</x:v>
      </x:c>
      <x:c r="F11" s="11" t="str">
        <x:v>로컬–공식 운송성</x:v>
      </x:c>
      <x:c r="G11" s="11" t="str">
        <x:v>로컬–공식 운송성</x:v>
      </x:c>
      <x:c r="H11" s="11" t="str">
        <x:v>로컬–공식 운송성</x:v>
      </x:c>
      <x:c r="I11" s="11" t="str">
        <x:v>로컬–공식 운송성</x:v>
      </x:c>
      <x:c r="J11" s="11" t="str">
        <x:v>로컬–공식 운송성</x:v>
      </x:c>
    </x:row>
    <x:row r="12" ht="30" customHeight="1">
      <x:c r="A12" s="51" t="str">
        <x:v>범위</x:v>
      </x:c>
      <x:c r="B12" s="51" t="str">
        <x:v>일치</x:v>
      </x:c>
      <x:c r="C12" s="51" t="str">
        <x:v>전체</x:v>
      </x:c>
      <x:c r="E12" s="51" t="str">
        <x:v>문제</x:v>
      </x:c>
      <x:c r="F12" s="51" t="str">
        <x:v>선택 정책</x:v>
      </x:c>
      <x:c r="G12" s="51"/>
      <x:c r="H12" s="51"/>
      <x:c r="I12" s="51"/>
      <x:c r="J12" s="51"/>
    </x:row>
    <x:row r="13">
      <x:c r="A13" s="57" t="str">
        <x:v>전체 contrast</x:v>
      </x:c>
      <x:c r="B13" s="59" t="n">
        <x:f>'Calibration'!$O$3</x:f>
        <x:v>6</x:v>
      </x:c>
      <x:c r="C13" s="59" t="n">
        <x:f>'Calibration'!$O$4</x:f>
        <x:v>14</x:v>
      </x:c>
      <x:c r="E13" s="63" t="str">
        <x:v>P1</x:v>
      </x:c>
      <x:c r="F13" s="57" t="str">
        <x:v>셀별 지원 이동 + 공식 factorial contrast. 전체 로컬 F1 scalar 금지.</x:v>
      </x:c>
      <x:c r="G13" s="57"/>
      <x:c r="H13" s="57"/>
      <x:c r="I13" s="57"/>
      <x:c r="J13" s="57"/>
    </x:row>
    <x:row r="14">
      <x:c r="A14" s="58" t="str">
        <x:v>비교가능 A−/B</x:v>
      </x:c>
      <x:c r="B14" s="60" t="n">
        <x:f>'Calibration'!$O$5</x:f>
        <x:v>3</x:v>
      </x:c>
      <x:c r="C14" s="60" t="n">
        <x:f>'Calibration'!$O$6</x:f>
        <x:v>5</x:v>
      </x:c>
      <x:c r="E14" s="64" t="str">
        <x:v>P2</x:v>
      </x:c>
      <x:c r="F14" s="58" t="str">
        <x:v>26,061행 공식 이차대수 우선. 로컬은 후처리 순서의 약한 보조증거.</x:v>
      </x:c>
      <x:c r="G14" s="58"/>
      <x:c r="H14" s="58"/>
      <x:c r="I14" s="58"/>
      <x:c r="J14" s="58"/>
    </x:row>
    <x:row r="15">
      <x:c r="E15" s="64" t="str">
        <x:v>P3</x:v>
      </x:c>
      <x:c r="F15" s="58" t="str">
        <x:v>현재 local analogue 기각. C1 guard와 공식 −2/−4 probe로 곡률 식별.</x:v>
      </x:c>
      <x:c r="G15" s="58"/>
      <x:c r="H15" s="58"/>
      <x:c r="I15" s="58"/>
      <x:c r="J15" s="58"/>
    </x:row>
    <x:row r="16">
      <x:c r="E16" s="64" t="str">
        <x:v>공통</x:v>
      </x:c>
      <x:c r="F16" s="58" t="str">
        <x:v>한 날 3개는 첫 점수 열람 전에 동결하고 중간 교체 없이 연속 제출.</x:v>
      </x:c>
      <x:c r="G16" s="58"/>
      <x:c r="H16" s="58"/>
      <x:c r="I16" s="58"/>
      <x:c r="J16" s="58"/>
    </x:row>
    <x:row r="18" ht="24" customHeight="1">
      <x:c r="A18" s="11" t="str">
        <x:v>제출 전 guard</x:v>
      </x:c>
      <x:c r="B18" s="11" t="str">
        <x:v>제출 전 guard</x:v>
      </x:c>
      <x:c r="C18" s="11" t="str">
        <x:v>제출 전 guard</x:v>
      </x:c>
      <x:c r="D18" s="11" t="str">
        <x:v>제출 전 guard</x:v>
      </x:c>
      <x:c r="E18" s="11" t="str">
        <x:v>제출 전 guard</x:v>
      </x:c>
      <x:c r="F18" s="11" t="str">
        <x:v>제출 전 guard</x:v>
      </x:c>
      <x:c r="G18" s="11" t="str">
        <x:v>제출 전 guard</x:v>
      </x:c>
      <x:c r="H18" s="11" t="str">
        <x:v>제출 전 guard</x:v>
      </x:c>
      <x:c r="I18" s="11" t="str">
        <x:v>제출 전 guard</x:v>
      </x:c>
      <x:c r="J18" s="11" t="str">
        <x:v>제출 전 guard</x:v>
      </x:c>
    </x:row>
    <x:row r="19">
      <x:c r="A19" s="73" t="str">
        <x:v>1</x:v>
      </x:c>
      <x:c r="B19" s="57" t="str">
        <x:v>기회가 실제 3/3으로 초기화됐는지 확인</x:v>
      </x:c>
      <x:c r="C19" s="57"/>
      <x:c r="D19" s="57"/>
      <x:c r="E19" s="57"/>
      <x:c r="F19" s="57"/>
      <x:c r="G19" s="57"/>
      <x:c r="H19" s="57"/>
      <x:c r="I19" s="57"/>
      <x:c r="J19" s="57"/>
    </x:row>
    <x:row r="20">
      <x:c r="A20" s="74" t="str">
        <x:v>2</x:v>
      </x:c>
      <x:c r="B20" s="58" t="str">
        <x:v>fresh process에서 9개 CSV SHA-256을 재검증</x:v>
      </x:c>
      <x:c r="C20" s="58"/>
      <x:c r="D20" s="58"/>
      <x:c r="E20" s="58"/>
      <x:c r="F20" s="58"/>
      <x:c r="G20" s="58"/>
      <x:c r="H20" s="58"/>
      <x:c r="I20" s="58"/>
      <x:c r="J20" s="58"/>
    </x:row>
    <x:row r="21">
      <x:c r="A21" s="74" t="str">
        <x:v>3</x:v>
      </x:c>
      <x:c r="B21" s="58" t="str">
        <x:v>사용자의 직전 새 명시 승인 후에만 업로드</x:v>
      </x:c>
      <x:c r="C21" s="58"/>
      <x:c r="D21" s="58"/>
      <x:c r="E21" s="58"/>
      <x:c r="F21" s="58"/>
      <x:c r="G21" s="58"/>
      <x:c r="H21" s="58"/>
      <x:c r="I21" s="58"/>
      <x:c r="J21" s="58"/>
    </x:row>
    <x:row r="22">
      <x:c r="A22" s="74" t="str">
        <x:v>4</x:v>
      </x:c>
      <x:c r="B22" s="58" t="str">
        <x:v>P2 U 공식값이 [0.535748471, 0.535752490] 밖이면 계보·scorer 감사</x:v>
      </x:c>
      <x:c r="C22" s="58"/>
      <x:c r="D22" s="58"/>
      <x:c r="E22" s="58"/>
      <x:c r="F22" s="58"/>
      <x:c r="G22" s="58"/>
      <x:c r="H22" s="58"/>
      <x:c r="I22" s="58"/>
      <x:c r="J22" s="58"/>
    </x:row>
    <x:row r="23">
      <x:c r="A23" s="74" t="str">
        <x:v>5</x:v>
      </x:c>
      <x:c r="B23" s="58" t="str">
        <x:v>P3 C1 공식값이 [0.598985480, 0.598988507] 밖이면 곡선 외삽 중단</x:v>
      </x:c>
      <x:c r="C23" s="58"/>
      <x:c r="D23" s="58"/>
      <x:c r="E23" s="58"/>
      <x:c r="F23" s="58"/>
      <x:c r="G23" s="58"/>
      <x:c r="H23" s="58"/>
      <x:c r="I23" s="58"/>
      <x:c r="J23" s="58"/>
    </x:row>
  </x:sheetData>
  <x:mergeCells>
    <x:mergeCell ref="A1:J1"/>
    <x:mergeCell ref="A2:J2"/>
    <x:mergeCell ref="A4:J4"/>
    <x:mergeCell ref="A11:J11"/>
    <x:mergeCell ref="F12:J12"/>
    <x:mergeCell ref="F13:J13"/>
    <x:mergeCell ref="F14:J14"/>
    <x:mergeCell ref="F15:J15"/>
    <x:mergeCell ref="F16:J16"/>
    <x:mergeCell ref="A18:J18"/>
    <x:mergeCell ref="B19:J19"/>
    <x:mergeCell ref="B20:J20"/>
    <x:mergeCell ref="B21:J21"/>
    <x:mergeCell ref="B22:J22"/>
    <x:mergeCell ref="B23:J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" hidden="0" customWidth="1"/>
    <x:col min="3" max="3" width="24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0" hidden="0" customWidth="1"/>
    <x:col min="10" max="10" width="16" hidden="0" customWidth="1"/>
    <x:col min="11" max="11" width="10" hidden="0" customWidth="1"/>
    <x:col min="12" max="12" width="58" hidden="0" customWidth="1"/>
    <x:col min="13" max="13" width="3" hidden="0" customWidth="1"/>
    <x:col min="14" max="14" width="20" hidden="0" customWidth="1"/>
    <x:col min="15" max="15" width="12" hidden="0" customWidth="1"/>
  </x:cols>
  <x:sheetData>
    <x:row r="1" ht="34" customHeight="1">
      <x:c r="A1" s="4" t="str">
        <x:v>Local ↔ Official calibration</x:v>
      </x:c>
      <x:c r="B1" s="4" t="str">
        <x:v>Local ↔ Official calibration</x:v>
      </x:c>
      <x:c r="C1" s="4" t="str">
        <x:v>Local ↔ Official calibration</x:v>
      </x:c>
      <x:c r="D1" s="4" t="str">
        <x:v>Local ↔ Official calibration</x:v>
      </x:c>
      <x:c r="E1" s="4" t="str">
        <x:v>Local ↔ Official calibration</x:v>
      </x:c>
      <x:c r="F1" s="4" t="str">
        <x:v>Local ↔ Official calibration</x:v>
      </x:c>
      <x:c r="G1" s="4" t="str">
        <x:v>Local ↔ Official calibration</x:v>
      </x:c>
      <x:c r="H1" s="4" t="str">
        <x:v>Local ↔ Official calibration</x:v>
      </x:c>
      <x:c r="I1" s="4" t="str">
        <x:v>Local ↔ Official calibration</x:v>
      </x:c>
      <x:c r="J1" s="4" t="str">
        <x:v>Local ↔ Official calibration</x:v>
      </x:c>
      <x:c r="K1" s="4" t="str">
        <x:v>Local ↔ Official calibration</x:v>
      </x:c>
      <x:c r="L1" s="4" t="str">
        <x:v>Local ↔ Official calibration</x:v>
      </x:c>
      <x:c r="M1" s="4" t="str">
        <x:v>Local ↔ Official calibration</x:v>
      </x:c>
      <x:c r="N1" s="4" t="str">
        <x:v>Local ↔ Official calibration</x:v>
      </x:c>
      <x:c r="O1" s="4" t="str">
        <x:v>Local ↔ Official calibration</x:v>
      </x:c>
    </x:row>
    <x:row r="2" ht="28" customHeight="1">
      <x:c r="A2" s="8" t="str">
        <x:v>14개 contrast · score 방향을 통일한 gain 기준 · 전역 scalar는 의도적으로 적합하지 않음</x:v>
      </x:c>
      <x:c r="B2" s="8" t="str">
        <x:v>14개 contrast · score 방향을 통일한 gain 기준 · 전역 scalar는 의도적으로 적합하지 않음</x:v>
      </x:c>
      <x:c r="C2" s="8" t="str">
        <x:v>14개 contrast · score 방향을 통일한 gain 기준 · 전역 scalar는 의도적으로 적합하지 않음</x:v>
      </x:c>
      <x:c r="D2" s="8" t="str">
        <x:v>14개 contrast · score 방향을 통일한 gain 기준 · 전역 scalar는 의도적으로 적합하지 않음</x:v>
      </x:c>
      <x:c r="E2" s="8" t="str">
        <x:v>14개 contrast · score 방향을 통일한 gain 기준 · 전역 scalar는 의도적으로 적합하지 않음</x:v>
      </x:c>
      <x:c r="F2" s="8" t="str">
        <x:v>14개 contrast · score 방향을 통일한 gain 기준 · 전역 scalar는 의도적으로 적합하지 않음</x:v>
      </x:c>
      <x:c r="G2" s="8" t="str">
        <x:v>14개 contrast · score 방향을 통일한 gain 기준 · 전역 scalar는 의도적으로 적합하지 않음</x:v>
      </x:c>
      <x:c r="H2" s="8" t="str">
        <x:v>14개 contrast · score 방향을 통일한 gain 기준 · 전역 scalar는 의도적으로 적합하지 않음</x:v>
      </x:c>
      <x:c r="I2" s="8" t="str">
        <x:v>14개 contrast · score 방향을 통일한 gain 기준 · 전역 scalar는 의도적으로 적합하지 않음</x:v>
      </x:c>
      <x:c r="J2" s="8" t="str">
        <x:v>14개 contrast · score 방향을 통일한 gain 기준 · 전역 scalar는 의도적으로 적합하지 않음</x:v>
      </x:c>
      <x:c r="K2" s="8" t="str">
        <x:v>14개 contrast · score 방향을 통일한 gain 기준 · 전역 scalar는 의도적으로 적합하지 않음</x:v>
      </x:c>
      <x:c r="L2" s="8" t="str">
        <x:v>14개 contrast · score 방향을 통일한 gain 기준 · 전역 scalar는 의도적으로 적합하지 않음</x:v>
      </x:c>
      <x:c r="M2" s="8" t="str">
        <x:v>14개 contrast · score 방향을 통일한 gain 기준 · 전역 scalar는 의도적으로 적합하지 않음</x:v>
      </x:c>
      <x:c r="N2" s="8" t="str">
        <x:v>14개 contrast · score 방향을 통일한 gain 기준 · 전역 scalar는 의도적으로 적합하지 않음</x:v>
      </x:c>
      <x:c r="O2" s="8" t="str">
        <x:v>14개 contrast · score 방향을 통일한 gain 기준 · 전역 scalar는 의도적으로 적합하지 않음</x:v>
      </x:c>
    </x:row>
    <x:row r="3">
      <x:c r="N3" s="32" t="str">
        <x:v>전체 부호 일치</x:v>
      </x:c>
      <x:c r="O3" s="81" t="n">
        <x:f>COUNTIF($I$6:$I$19,"YES")</x:f>
        <x:v>6</x:v>
      </x:c>
    </x:row>
    <x:row r="4">
      <x:c r="N4" s="34" t="str">
        <x:v>전체 행</x:v>
      </x:c>
      <x:c r="O4" s="82" t="n">
        <x:f>COUNTA($A$6:$A$19)</x:f>
        <x:v>14</x:v>
      </x:c>
    </x:row>
    <x:row r="5" ht="30" customHeight="1">
      <x:c r="A5" s="51" t="str">
        <x:v>Problem</x:v>
      </x:c>
      <x:c r="B5" s="51" t="str">
        <x:v>Family</x:v>
      </x:c>
      <x:c r="C5" s="51" t="str">
        <x:v>Contrast</x:v>
      </x:c>
      <x:c r="D5" s="51" t="str">
        <x:v>Improve sign</x:v>
      </x:c>
      <x:c r="E5" s="51" t="str">
        <x:v>Local delta</x:v>
      </x:c>
      <x:c r="F5" s="51" t="str">
        <x:v>Official delta</x:v>
      </x:c>
      <x:c r="G5" s="51" t="str">
        <x:v>Local gain</x:v>
      </x:c>
      <x:c r="H5" s="51" t="str">
        <x:v>Official gain</x:v>
      </x:c>
      <x:c r="I5" s="51" t="str">
        <x:v>Sign</x:v>
      </x:c>
      <x:c r="J5" s="51" t="str">
        <x:v>|Official/Local|</x:v>
      </x:c>
      <x:c r="K5" s="51" t="str">
        <x:v>Grade</x:v>
      </x:c>
      <x:c r="L5" s="51" t="str">
        <x:v>Caveat</x:v>
      </x:c>
      <x:c r="N5" s="34" t="str">
        <x:v>A−/B 부호 일치</x:v>
      </x:c>
      <x:c r="O5" s="82" t="n">
        <x:f>COUNTIFS($K$6:$K$19,"A-",$I$6:$I$19,"YES")+COUNTIFS($K$6:$K$19,"B",$I$6:$I$19,"YES")</x:f>
        <x:v>3</x:v>
      </x:c>
    </x:row>
    <x:row r="6" ht="38" customHeight="1">
      <x:c r="A6" s="57" t="str">
        <x:v>P1</x:v>
      </x:c>
      <x:c r="B6" s="57" t="str">
        <x:v>backbone</x:v>
      </x:c>
      <x:c r="C6" s="57" t="str">
        <x:v>A vs O</x:v>
      </x:c>
      <x:c r="D6" s="59" t="n">
        <x:v>1</x:v>
      </x:c>
      <x:c r="E6" s="83" t="n">
        <x:v>0.002086891853720352</x:v>
      </x:c>
      <x:c r="F6" s="83" t="n">
        <x:v>-0.0045640000000000125</x:v>
      </x:c>
      <x:c r="G6" s="83" t="n">
        <x:f>D6*E6</x:f>
        <x:v>0.002086891853720352</x:v>
      </x:c>
      <x:c r="H6" s="83" t="n">
        <x:f>D6*F6</x:f>
        <x:v>-0.0045640000000000125</x:v>
      </x:c>
      <x:c r="I6" s="57" t="str">
        <x:f>IF(SIGN(G6)=SIGN(H6),"YES","NO")</x:f>
        <x:v>NO</x:v>
      </x:c>
      <x:c r="J6" s="85" t="n">
        <x:f>IF(ABS(G6)&gt;0,ABS(H6/G6),"")</x:f>
        <x:v>2.1869844342262685</x:v>
      </x:c>
      <x:c r="K6" s="57" t="str">
        <x:v>B</x:v>
      </x:c>
      <x:c r="L6" s="57" t="str">
        <x:v>Matched local family, but deployment surface and hidden official population differ.</x:v>
      </x:c>
      <x:c r="N6" s="34" t="str">
        <x:v>A−/B 행</x:v>
      </x:c>
      <x:c r="O6" s="82" t="n">
        <x:f>COUNTIF($K$6:$K$19,"A-")+COUNTIF($K$6:$K$19,"B")</x:f>
        <x:v>5</x:v>
      </x:c>
    </x:row>
    <x:row r="7" ht="38" customHeight="1">
      <x:c r="A7" s="58" t="str">
        <x:v>P1</x:v>
      </x:c>
      <x:c r="B7" s="58" t="str">
        <x:v>backbone</x:v>
      </x:c>
      <x:c r="C7" s="58" t="str">
        <x:v>B vs O</x:v>
      </x:c>
      <x:c r="D7" s="60" t="n">
        <x:v>1</x:v>
      </x:c>
      <x:c r="E7" s="84" t="n">
        <x:v>0.00418648488187523</x:v>
      </x:c>
      <x:c r="F7" s="84" t="n">
        <x:v>0.0030010000000000314</x:v>
      </x:c>
      <x:c r="G7" s="84" t="n">
        <x:f>D7*E7</x:f>
        <x:v>0.00418648488187523</x:v>
      </x:c>
      <x:c r="H7" s="84" t="n">
        <x:f>D7*F7</x:f>
        <x:v>0.0030010000000000314</x:v>
      </x:c>
      <x:c r="I7" s="58" t="str">
        <x:f>IF(SIGN(G7)=SIGN(H7),"YES","NO")</x:f>
        <x:v>YES</x:v>
      </x:c>
      <x:c r="J7" s="86" t="n">
        <x:f>IF(ABS(G7)&gt;0,ABS(H7/G7),"")</x:f>
        <x:v>0.716830487789988</x:v>
      </x:c>
      <x:c r="K7" s="58" t="str">
        <x:v>B</x:v>
      </x:c>
      <x:c r="L7" s="58" t="str">
        <x:v>Direction transported once; uncertainty and station/fold heterogeneity remain.</x:v>
      </x:c>
    </x:row>
    <x:row r="8" ht="38" customHeight="1">
      <x:c r="A8" s="58" t="str">
        <x:v>P1</x:v>
      </x:c>
      <x:c r="B8" s="58" t="str">
        <x:v>disagreement_router</x:v>
      </x:c>
      <x:c r="C8" s="58" t="str">
        <x:v>Router vs B</x:v>
      </x:c>
      <x:c r="D8" s="60" t="n">
        <x:v>1</x:v>
      </x:c>
      <x:c r="E8" s="84" t="n">
        <x:v>0.0022299078777840986</x:v>
      </x:c>
      <x:c r="F8" s="84" t="n">
        <x:v>0.024162999999999935</x:v>
      </x:c>
      <x:c r="G8" s="84" t="n">
        <x:f>D8*E8</x:f>
        <x:v>0.0022299078777840986</x:v>
      </x:c>
      <x:c r="H8" s="84" t="n">
        <x:f>D8*F8</x:f>
        <x:v>0.024162999999999935</x:v>
      </x:c>
      <x:c r="I8" s="58" t="str">
        <x:f>IF(SIGN(G8)=SIGN(H8),"YES","NO")</x:f>
        <x:v>YES</x:v>
      </x:c>
      <x:c r="J8" s="86" t="n">
        <x:f>IF(ABS(G8)&gt;0,ABS(H8/G8),"")</x:f>
        <x:v>10.835873643359278</x:v>
      </x:c>
      <x:c r="K8" s="58" t="str">
        <x:v>A-</x:v>
      </x:c>
      <x:c r="L8" s="58" t="str">
        <x:v>Same frozen cell rules; support frequency moved 9-16x for additions.</x:v>
      </x:c>
    </x:row>
    <x:row r="9" ht="38" customHeight="1">
      <x:c r="A9" s="58" t="str">
        <x:v>P1</x:v>
      </x:c>
      <x:c r="B9" s="58" t="str">
        <x:v>set_operation</x:v>
      </x:c>
      <x:c r="C9" s="58" t="str">
        <x:v>Intersection vs B</x:v>
      </x:c>
      <x:c r="D9" s="60" t="n">
        <x:v>1</x:v>
      </x:c>
      <x:c r="E9" s="84" t="n">
        <x:v>-0.0015935867398085835</x:v>
      </x:c>
      <x:c r="F9" s="84" t="n">
        <x:v>0.009217999999999948</x:v>
      </x:c>
      <x:c r="G9" s="84" t="n">
        <x:f>D9*E9</x:f>
        <x:v>-0.0015935867398085835</x:v>
      </x:c>
      <x:c r="H9" s="84" t="n">
        <x:f>D9*F9</x:f>
        <x:v>0.009217999999999948</x:v>
      </x:c>
      <x:c r="I9" s="58" t="str">
        <x:f>IF(SIGN(G9)=SIGN(H9),"YES","NO")</x:f>
        <x:v>NO</x:v>
      </x:c>
      <x:c r="J9" s="86" t="n">
        <x:f>IF(ABS(G9)&gt;0,ABS(H9/G9),"")</x:f>
        <x:v>5.784435681930426</x:v>
      </x:c>
      <x:c r="K9" s="58" t="str">
        <x:v>A-</x:v>
      </x:c>
      <x:c r="L9" s="58" t="str">
        <x:v>Same file operation, but F1 is nonlinear and official evaluation may use a hidden subset.</x:v>
      </x:c>
    </x:row>
    <x:row r="10" ht="38" customHeight="1">
      <x:c r="A10" s="58" t="str">
        <x:v>P1</x:v>
      </x:c>
      <x:c r="B10" s="58" t="str">
        <x:v>set_operation</x:v>
      </x:c>
      <x:c r="C10" s="58" t="str">
        <x:v>Union vs B</x:v>
      </x:c>
      <x:c r="D10" s="60" t="n">
        <x:v>1</x:v>
      </x:c>
      <x:c r="E10" s="84" t="n">
        <x:v>-0.0026272301706010692</x:v>
      </x:c>
      <x:c r="F10" s="84" t="n">
        <x:v>-0.01140400000000008</x:v>
      </x:c>
      <x:c r="G10" s="84" t="n">
        <x:f>D10*E10</x:f>
        <x:v>-0.0026272301706010692</x:v>
      </x:c>
      <x:c r="H10" s="84" t="n">
        <x:f>D10*F10</x:f>
        <x:v>-0.01140400000000008</x:v>
      </x:c>
      <x:c r="I10" s="58" t="str">
        <x:f>IF(SIGN(G10)=SIGN(H10),"YES","NO")</x:f>
        <x:v>YES</x:v>
      </x:c>
      <x:c r="J10" s="86" t="n">
        <x:f>IF(ABS(G10)&gt;0,ABS(H10/G10),"")</x:f>
        <x:v>4.3406931480963555</x:v>
      </x:c>
      <x:c r="K10" s="58" t="str">
        <x:v>A-</x:v>
      </x:c>
      <x:c r="L10" s="58" t="str">
        <x:v>Same file operation, but F1 is nonlinear and official evaluation may use a hidden subset.</x:v>
      </x:c>
    </x:row>
    <x:row r="11" ht="38" customHeight="1">
      <x:c r="A11" s="58" t="str">
        <x:v>P2</x:v>
      </x:c>
      <x:c r="B11" s="58" t="str">
        <x:v>A-O axis</x:v>
      </x:c>
      <x:c r="C11" s="58" t="str">
        <x:v>global -t vs O</x:v>
      </x:c>
      <x:c r="D11" s="60" t="n">
        <x:v>-1</x:v>
      </x:c>
      <x:c r="E11" s="84" t="n">
        <x:v>-0.0048833869847111355</x:v>
      </x:c>
      <x:c r="F11" s="84" t="n">
        <x:v>-0.003847000000000045</x:v>
      </x:c>
      <x:c r="G11" s="84" t="n">
        <x:f>D11*E11</x:f>
        <x:v>0.0048833869847111355</x:v>
      </x:c>
      <x:c r="H11" s="84" t="n">
        <x:f>D11*F11</x:f>
        <x:v>0.003847000000000045</x:v>
      </x:c>
      <x:c r="I11" s="58" t="str">
        <x:f>IF(SIGN(G11)=SIGN(H11),"YES","NO")</x:f>
        <x:v>YES</x:v>
      </x:c>
      <x:c r="J11" s="86" t="n">
        <x:f>IF(ABS(G11)&gt;0,ABS(H11/G11),"")</x:f>
        <x:v>0.7877729149961283</x:v>
      </x:c>
      <x:c r="K11" s="58" t="str">
        <x:v>C</x:v>
      </x:c>
      <x:c r="L11" s="58" t="str">
        <x:v>Same algebra but local surrogate and official A-O directions are not exact-lineage matches.</x:v>
      </x:c>
    </x:row>
    <x:row r="12" ht="38" customHeight="1">
      <x:c r="A12" s="58" t="str">
        <x:v>P2</x:v>
      </x:c>
      <x:c r="B12" s="58" t="str">
        <x:v>A-O axis</x:v>
      </x:c>
      <x:c r="C12" s="58" t="str">
        <x:v>L2 -t vs O</x:v>
      </x:c>
      <x:c r="D12" s="60" t="n">
        <x:v>-1</x:v>
      </x:c>
      <x:c r="E12" s="84" t="n">
        <x:v>-0.0011209504079080501</x:v>
      </x:c>
      <x:c r="F12" s="84" t="n">
        <x:v>0.0008319999999999439</x:v>
      </x:c>
      <x:c r="G12" s="84" t="n">
        <x:f>D12*E12</x:f>
        <x:v>0.0011209504079080501</x:v>
      </x:c>
      <x:c r="H12" s="84" t="n">
        <x:f>D12*F12</x:f>
        <x:v>-0.0008319999999999439</x:v>
      </x:c>
      <x:c r="I12" s="58" t="str">
        <x:f>IF(SIGN(G12)=SIGN(H12),"YES","NO")</x:f>
        <x:v>NO</x:v>
      </x:c>
      <x:c r="J12" s="86" t="n">
        <x:f>IF(ABS(G12)&gt;0,ABS(H12/G12),"")</x:f>
        <x:v>0.7422273047321034</x:v>
      </x:c>
      <x:c r="K12" s="58" t="str">
        <x:v>C</x:v>
      </x:c>
      <x:c r="L12" s="58" t="str">
        <x:v>Layer-2 sign reverses; local axis is unsuitable for layer selection.</x:v>
      </x:c>
    </x:row>
    <x:row r="13" ht="38" customHeight="1">
      <x:c r="A13" s="58" t="str">
        <x:v>P2</x:v>
      </x:c>
      <x:c r="B13" s="58" t="str">
        <x:v>A-O axis</x:v>
      </x:c>
      <x:c r="C13" s="58" t="str">
        <x:v>L3 -t vs O</x:v>
      </x:c>
      <x:c r="D13" s="60" t="n">
        <x:v>-1</x:v>
      </x:c>
      <x:c r="E13" s="84" t="n">
        <x:v>-0.0034003948711491816</x:v>
      </x:c>
      <x:c r="F13" s="84" t="n">
        <x:v>-0.00013610323709867256</x:v>
      </x:c>
      <x:c r="G13" s="84" t="n">
        <x:f>D13*E13</x:f>
        <x:v>0.0034003948711491816</x:v>
      </x:c>
      <x:c r="H13" s="84" t="n">
        <x:f>D13*F13</x:f>
        <x:v>0.00013610323709867256</x:v>
      </x:c>
      <x:c r="I13" s="58" t="str">
        <x:f>IF(SIGN(G13)=SIGN(H13),"YES","NO")</x:f>
        <x:v>YES</x:v>
      </x:c>
      <x:c r="J13" s="86" t="n">
        <x:f>IF(ABS(G13)&gt;0,ABS(H13/G13),"")</x:f>
        <x:v>0.04002571532307827</x:v>
      </x:c>
      <x:c r="K13" s="58" t="str">
        <x:v>C</x:v>
      </x:c>
      <x:c r="L13" s="58" t="str">
        <x:v>Official L3 score is inferred by additive MSE decomposition.</x:v>
      </x:c>
    </x:row>
    <x:row r="14" ht="38" customHeight="1">
      <x:c r="A14" s="58" t="str">
        <x:v>P2</x:v>
      </x:c>
      <x:c r="B14" s="58" t="str">
        <x:v>A-O axis</x:v>
      </x:c>
      <x:c r="C14" s="58" t="str">
        <x:v>L4 -t vs O</x:v>
      </x:c>
      <x:c r="D14" s="60" t="n">
        <x:v>-1</x:v>
      </x:c>
      <x:c r="E14" s="84" t="n">
        <x:v>-0.00035653789981970885</x:v>
      </x:c>
      <x:c r="F14" s="84" t="n">
        <x:v>-0.004549000000000025</x:v>
      </x:c>
      <x:c r="G14" s="84" t="n">
        <x:f>D14*E14</x:f>
        <x:v>0.00035653789981970885</x:v>
      </x:c>
      <x:c r="H14" s="84" t="n">
        <x:f>D14*F14</x:f>
        <x:v>0.004549000000000025</x:v>
      </x:c>
      <x:c r="I14" s="58" t="str">
        <x:f>IF(SIGN(G14)=SIGN(H14),"YES","NO")</x:f>
        <x:v>YES</x:v>
      </x:c>
      <x:c r="J14" s="86" t="n">
        <x:f>IF(ABS(G14)&gt;0,ABS(H14/G14),"")</x:f>
        <x:v>12.758811902746737</x:v>
      </x:c>
      <x:c r="K14" s="58" t="str">
        <x:v>C</x:v>
      </x:c>
      <x:c r="L14" s="58" t="str">
        <x:v>Direction agrees but magnitude differs by more than an order of magnitude.</x:v>
      </x:c>
    </x:row>
    <x:row r="15" ht="38" customHeight="1">
      <x:c r="A15" s="58" t="str">
        <x:v>P3</x:v>
      </x:c>
      <x:c r="B15" s="58" t="str">
        <x:v>shrink coefficient</x:v>
      </x:c>
      <x:c r="C15" s="58" t="str">
        <x:v>A vs O</x:v>
      </x:c>
      <x:c r="D15" s="60" t="n">
        <x:v>-1</x:v>
      </x:c>
      <x:c r="E15" s="84" t="n">
        <x:v>-0.00044396004699287506</x:v>
      </x:c>
      <x:c r="F15" s="84" t="n">
        <x:v>0.004608999999999974</x:v>
      </x:c>
      <x:c r="G15" s="84" t="n">
        <x:f>D15*E15</x:f>
        <x:v>0.00044396004699287506</x:v>
      </x:c>
      <x:c r="H15" s="84" t="n">
        <x:f>D15*F15</x:f>
        <x:v>-0.004608999999999974</x:v>
      </x:c>
      <x:c r="I15" s="58" t="str">
        <x:f>IF(SIGN(G15)=SIGN(H15),"YES","NO")</x:f>
        <x:v>NO</x:v>
      </x:c>
      <x:c r="J15" s="86" t="n">
        <x:f>IF(ABS(G15)&gt;0,ABS(H15/G15),"")</x:f>
        <x:v>10.381564807956565</x:v>
      </x:c>
      <x:c r="K15" s="58" t="str">
        <x:v>D</x:v>
      </x:c>
      <x:c r="L15" s="58" t="str">
        <x:v>Official A includes base-lineage drift and early-lead changes absent from local A.</x:v>
      </x:c>
    </x:row>
    <x:row r="16" ht="38" customHeight="1">
      <x:c r="A16" s="58" t="str">
        <x:v>P3</x:v>
      </x:c>
      <x:c r="B16" s="58" t="str">
        <x:v>shrink coefficient</x:v>
      </x:c>
      <x:c r="C16" s="58" t="str">
        <x:v>B vs O</x:v>
      </x:c>
      <x:c r="D16" s="60" t="n">
        <x:v>-1</x:v>
      </x:c>
      <x:c r="E16" s="84" t="n">
        <x:v>-0.0002753612015116147</x:v>
      </x:c>
      <x:c r="F16" s="84" t="n">
        <x:v>0.002275000000000027</x:v>
      </x:c>
      <x:c r="G16" s="84" t="n">
        <x:f>D16*E16</x:f>
        <x:v>0.0002753612015116147</x:v>
      </x:c>
      <x:c r="H16" s="84" t="n">
        <x:f>D16*F16</x:f>
        <x:v>-0.002275000000000027</x:v>
      </x:c>
      <x:c r="I16" s="58" t="str">
        <x:f>IF(SIGN(G16)=SIGN(H16),"YES","NO")</x:f>
        <x:v>NO</x:v>
      </x:c>
      <x:c r="J16" s="86" t="n">
        <x:f>IF(ABS(G16)&gt;0,ABS(H16/G16),"")</x:f>
        <x:v>8.261875629214481</x:v>
      </x:c>
      <x:c r="K16" s="58" t="str">
        <x:v>C-</x:v>
      </x:c>
      <x:c r="L16" s="58" t="str">
        <x:v>B is long-lead midpoint officially, but score population is a hidden 66-case subset.</x:v>
      </x:c>
    </x:row>
    <x:row r="17" ht="38" customHeight="1">
      <x:c r="A17" s="58" t="str">
        <x:v>P3</x:v>
      </x:c>
      <x:c r="B17" s="58" t="str">
        <x:v>reverse long axis</x:v>
      </x:c>
      <x:c r="C17" s="58" t="str">
        <x:v>C1/long -2 vs O</x:v>
      </x:c>
      <x:c r="D17" s="60" t="n">
        <x:v>-1</x:v>
      </x:c>
      <x:c r="E17" s="84" t="n">
        <x:v>0.002166154131161502</x:v>
      </x:c>
      <x:c r="F17" s="84" t="n">
        <x:v>-0.008084006281438572</x:v>
      </x:c>
      <x:c r="G17" s="84" t="n">
        <x:f>D17*E17</x:f>
        <x:v>-0.002166154131161502</x:v>
      </x:c>
      <x:c r="H17" s="84" t="n">
        <x:f>D17*F17</x:f>
        <x:v>0.008084006281438572</x:v>
      </x:c>
      <x:c r="I17" s="58" t="str">
        <x:f>IF(SIGN(G17)=SIGN(H17),"YES","NO")</x:f>
        <x:v>NO</x:v>
      </x:c>
      <x:c r="J17" s="86" t="n">
        <x:f>IF(ABS(G17)&gt;0,ABS(H17/G17),"")</x:f>
        <x:v>3.7319626360585385</x:v>
      </x:c>
      <x:c r="K17" s="58" t="str">
        <x:v>C</x:v>
      </x:c>
      <x:c r="L17" s="58" t="str">
        <x:v>Official value is preregistered from exact disjoint-support additivity, not yet observed.</x:v>
      </x:c>
    </x:row>
    <x:row r="18" ht="38" customHeight="1">
      <x:c r="A18" s="58" t="str">
        <x:v>P3</x:v>
      </x:c>
      <x:c r="B18" s="58" t="str">
        <x:v>reverse long axis</x:v>
      </x:c>
      <x:c r="C18" s="58" t="str">
        <x:v>L12 -2 vs O</x:v>
      </x:c>
      <x:c r="D18" s="60" t="n">
        <x:v>-1</x:v>
      </x:c>
      <x:c r="E18" s="84" t="n">
        <x:v>0.00012925228901572439</x:v>
      </x:c>
      <x:c r="F18" s="84" t="n">
        <x:v>-0.00039000000000000146</x:v>
      </x:c>
      <x:c r="G18" s="84" t="n">
        <x:f>D18*E18</x:f>
        <x:v>-0.00012925228901572439</x:v>
      </x:c>
      <x:c r="H18" s="84" t="n">
        <x:f>D18*F18</x:f>
        <x:v>0.00039000000000000146</x:v>
      </x:c>
      <x:c r="I18" s="58" t="str">
        <x:f>IF(SIGN(G18)=SIGN(H18),"YES","NO")</x:f>
        <x:v>NO</x:v>
      </x:c>
      <x:c r="J18" s="86" t="n">
        <x:f>IF(ABS(G18)&gt;0,ABS(H18/G18),"")</x:f>
        <x:v>3.017354686481068</x:v>
      </x:c>
      <x:c r="K18" s="58" t="str">
        <x:v>C</x:v>
      </x:c>
      <x:c r="L18" s="58" t="str">
        <x:v>Same lead support but local and official delta lineages are not identical.</x:v>
      </x:c>
    </x:row>
    <x:row r="19" ht="38" customHeight="1">
      <x:c r="A19" s="58" t="str">
        <x:v>P3</x:v>
      </x:c>
      <x:c r="B19" s="58" t="str">
        <x:v>reverse long axis</x:v>
      </x:c>
      <x:c r="C19" s="58" t="str">
        <x:v>L18/24 -2 vs O</x:v>
      </x:c>
      <x:c r="D19" s="60" t="n">
        <x:v>-1</x:v>
      </x:c>
      <x:c r="E19" s="84" t="n">
        <x:v>0.0020372388797853525</x:v>
      </x:c>
      <x:c r="F19" s="84" t="n">
        <x:v>-0.007689000000000057</x:v>
      </x:c>
      <x:c r="G19" s="84" t="n">
        <x:f>D19*E19</x:f>
        <x:v>-0.0020372388797853525</x:v>
      </x:c>
      <x:c r="H19" s="84" t="n">
        <x:f>D19*F19</x:f>
        <x:v>0.007689000000000057</x:v>
      </x:c>
      <x:c r="I19" s="58" t="str">
        <x:f>IF(SIGN(G19)=SIGN(H19),"YES","NO")</x:f>
        <x:v>NO</x:v>
      </x:c>
      <x:c r="J19" s="86" t="n">
        <x:f>IF(ABS(G19)&gt;0,ABS(H19/G19),"")</x:f>
        <x:v>3.774226025379108</x:v>
      </x:c>
      <x:c r="K19" s="58" t="str">
        <x:v>C</x:v>
      </x:c>
      <x:c r="L19" s="58" t="str">
        <x:v>Same lead support but local and official delta lineages are not identical.</x:v>
      </x:c>
    </x:row>
  </x:sheetData>
  <x:mergeCells>
    <x:mergeCell ref="A1:O1"/>
    <x:mergeCell ref="A2:O2"/>
  </x:mergeCells>
  <x:conditionalFormatting sqref="I6:I19">
    <x:cfRule type="containsText" dxfId="0" priority="1" operator="containsText" text="YES"/>
    <x:cfRule type="containsText" dxfId="1" priority="2" operator="containsText" text="NO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34" hidden="0" customWidth="1"/>
    <x:col min="4" max="4" width="30" hidden="0" customWidth="1"/>
    <x:col min="5" max="5" width="36" hidden="0" customWidth="1"/>
    <x:col min="6" max="6" width="58" hidden="0" customWidth="1"/>
    <x:col min="7" max="7" width="12" hidden="0" customWidth="1"/>
    <x:col min="8" max="8" width="12" hidden="0" customWidth="1"/>
    <x:col min="9" max="9" width="10" hidden="0" customWidth="1"/>
    <x:col min="10" max="10" width="14" hidden="0" customWidth="1"/>
    <x:col min="11" max="11" width="18" hidden="0" customWidth="1"/>
    <x:col min="12" max="12" width="68" hidden="0" customWidth="1"/>
  </x:cols>
  <x:sheetData>
    <x:row r="1" ht="34" customHeight="1">
      <x:c r="A1" s="4" t="str">
        <x:v>Frozen 3×3 candidate ledger</x:v>
      </x:c>
      <x:c r="B1" s="4" t="str">
        <x:v>Frozen 3×3 candidate ledger</x:v>
      </x:c>
      <x:c r="C1" s="4" t="str">
        <x:v>Frozen 3×3 candidate ledger</x:v>
      </x:c>
      <x:c r="D1" s="4" t="str">
        <x:v>Frozen 3×3 candidate ledger</x:v>
      </x:c>
      <x:c r="E1" s="4" t="str">
        <x:v>Frozen 3×3 candidate ledger</x:v>
      </x:c>
      <x:c r="F1" s="4" t="str">
        <x:v>Frozen 3×3 candidate ledger</x:v>
      </x:c>
      <x:c r="G1" s="4" t="str">
        <x:v>Frozen 3×3 candidate ledger</x:v>
      </x:c>
      <x:c r="H1" s="4" t="str">
        <x:v>Frozen 3×3 candidate ledger</x:v>
      </x:c>
      <x:c r="I1" s="4" t="str">
        <x:v>Frozen 3×3 candidate ledger</x:v>
      </x:c>
      <x:c r="J1" s="4" t="str">
        <x:v>Frozen 3×3 candidate ledger</x:v>
      </x:c>
      <x:c r="K1" s="4" t="str">
        <x:v>Frozen 3×3 candidate ledger</x:v>
      </x:c>
      <x:c r="L1" s="4" t="str">
        <x:v>Frozen 3×3 candidate ledger</x:v>
      </x:c>
    </x:row>
    <x:row r="2" ht="28" customHeight="1">
      <x:c r="A2" s="8" t="str">
        <x:v>제출물 제목·한줄요약·행 수·변경 범위·SHA-256을 한 곳에서 확인</x:v>
      </x:c>
      <x:c r="B2" s="8" t="str">
        <x:v>제출물 제목·한줄요약·행 수·변경 범위·SHA-256을 한 곳에서 확인</x:v>
      </x:c>
      <x:c r="C2" s="8" t="str">
        <x:v>제출물 제목·한줄요약·행 수·변경 범위·SHA-256을 한 곳에서 확인</x:v>
      </x:c>
      <x:c r="D2" s="8" t="str">
        <x:v>제출물 제목·한줄요약·행 수·변경 범위·SHA-256을 한 곳에서 확인</x:v>
      </x:c>
      <x:c r="E2" s="8" t="str">
        <x:v>제출물 제목·한줄요약·행 수·변경 범위·SHA-256을 한 곳에서 확인</x:v>
      </x:c>
      <x:c r="F2" s="8" t="str">
        <x:v>제출물 제목·한줄요약·행 수·변경 범위·SHA-256을 한 곳에서 확인</x:v>
      </x:c>
      <x:c r="G2" s="8" t="str">
        <x:v>제출물 제목·한줄요약·행 수·변경 범위·SHA-256을 한 곳에서 확인</x:v>
      </x:c>
      <x:c r="H2" s="8" t="str">
        <x:v>제출물 제목·한줄요약·행 수·변경 범위·SHA-256을 한 곳에서 확인</x:v>
      </x:c>
      <x:c r="I2" s="8" t="str">
        <x:v>제출물 제목·한줄요약·행 수·변경 범위·SHA-256을 한 곳에서 확인</x:v>
      </x:c>
      <x:c r="J2" s="8" t="str">
        <x:v>제출물 제목·한줄요약·행 수·변경 범위·SHA-256을 한 곳에서 확인</x:v>
      </x:c>
      <x:c r="K2" s="8" t="str">
        <x:v>제출물 제목·한줄요약·행 수·변경 범위·SHA-256을 한 곳에서 확인</x:v>
      </x:c>
      <x:c r="L2" s="8" t="str">
        <x:v>제출물 제목·한줄요약·행 수·변경 범위·SHA-256을 한 곳에서 확인</x:v>
      </x:c>
    </x:row>
    <x:row r="4" ht="30" customHeight="1">
      <x:c r="A4" s="51" t="str">
        <x:v>Order</x:v>
      </x:c>
      <x:c r="B4" s="51" t="str">
        <x:v>Problem</x:v>
      </x:c>
      <x:c r="C4" s="51" t="str">
        <x:v>Candidate</x:v>
      </x:c>
      <x:c r="D4" s="51" t="str">
        <x:v>Purpose</x:v>
      </x:c>
      <x:c r="E4" s="51" t="str">
        <x:v>제출물 제목</x:v>
      </x:c>
      <x:c r="F4" s="51" t="str">
        <x:v>한줄요약(접근방식)</x:v>
      </x:c>
      <x:c r="G4" s="51" t="str">
        <x:v>Rows</x:v>
      </x:c>
      <x:c r="H4" s="51" t="str">
        <x:v>Changed</x:v>
      </x:c>
      <x:c r="I4" s="51" t="str">
        <x:v>Alpha</x:v>
      </x:c>
      <x:c r="J4" s="51" t="str">
        <x:v>Active leads</x:v>
      </x:c>
      <x:c r="K4" s="51" t="str">
        <x:v>Expected official</x:v>
      </x:c>
      <x:c r="L4" s="51" t="str">
        <x:v>SHA-256</x:v>
      </x:c>
    </x:row>
    <x:row r="6" ht="46" customHeight="1">
      <x:c r="A6" s="95" t="n">
        <x:v>1</x:v>
      </x:c>
      <x:c r="B6" s="95" t="str">
        <x:v>P1</x:v>
      </x:c>
      <x:c r="C6" s="96" t="str">
        <x:v>P1_1_PROBE_G_ONLY</x:v>
      </x:c>
      <x:c r="D6" s="96" t="str">
        <x:v>DISAGREEMENT_CELL_PROBE</x:v>
      </x:c>
      <x:c r="E6" s="96" t="str">
        <x:v>P1 G-ORS L1 추가양성 단독 v1</x:v>
      </x:c>
      <x:c r="F6" s="96" t="str">
        <x:v>현 베스트 B에 G-ORS layer 1의 O-only 81행만 복원해 G 셀의 공식 효용을 분리합니다.</x:v>
      </x:c>
      <x:c r="G6" s="97" t="n">
        <x:v>169011</x:v>
      </x:c>
      <x:c r="H6" s="97" t="n">
        <x:v>81</x:v>
      </x:c>
      <x:c r="I6" s="98"/>
      <x:c r="J6" s="99" t="str"/>
      <x:c r="K6" s="100"/>
      <x:c r="L6" s="96" t="str">
        <x:v>671e52599efcaa671cbfa26c29c3fce2dd5531ab408109e4565c7ad3598cfe69</x:v>
      </x:c>
    </x:row>
    <x:row r="7" ht="46" customHeight="1">
      <x:c r="A7" s="101" t="n">
        <x:v>2</x:v>
      </x:c>
      <x:c r="B7" s="101" t="str">
        <x:v>P1</x:v>
      </x:c>
      <x:c r="C7" s="102" t="str">
        <x:v>P1_2_PROBE_I_ONLY</x:v>
      </x:c>
      <x:c r="D7" s="102" t="str">
        <x:v>DISAGREEMENT_CELL_PROBE</x:v>
      </x:c>
      <x:c r="E7" s="102" t="str">
        <x:v>P1 I-ORS L2 추가양성 단독 v1</x:v>
      </x:c>
      <x:c r="F7" s="102" t="str">
        <x:v>현 베스트 B에 I-ORS layer 2의 O-only 136행만 복원해 I 셀의 공식 효용을 분리합니다.</x:v>
      </x:c>
      <x:c r="G7" s="103" t="n">
        <x:v>169011</x:v>
      </x:c>
      <x:c r="H7" s="103" t="n">
        <x:v>136</x:v>
      </x:c>
      <x:c r="I7" s="104"/>
      <x:c r="J7" s="105" t="str"/>
      <x:c r="K7" s="106"/>
      <x:c r="L7" s="102" t="str">
        <x:v>e8dc0b5b59fe0c717248cb5315d14e90399f491e085feef4cf57d4edad70fa79</x:v>
      </x:c>
    </x:row>
    <x:row r="8" ht="46" customHeight="1">
      <x:c r="A8" s="101" t="n">
        <x:v>3</x:v>
      </x:c>
      <x:c r="B8" s="101" t="str">
        <x:v>P1</x:v>
      </x:c>
      <x:c r="C8" s="102" t="str">
        <x:v>P1_3_EXPLOIT_GI_NO_REMOVALS</x:v>
      </x:c>
      <x:c r="D8" s="102" t="str">
        <x:v>EXPLOIT_AND_INTERACTION_PROBE</x:v>
      </x:c>
      <x:c r="E8" s="102" t="str">
        <x:v>P1 G·I 추가양성 결합·무제거 v1</x:v>
      </x:c>
      <x:c r="F8" s="102" t="str">
        <x:v>현 베스트 B에 G/I 추가양성 217행을 함께 복원하되 Router의 12행 제거는 적용하지 않습니다.</x:v>
      </x:c>
      <x:c r="G8" s="103" t="n">
        <x:v>169011</x:v>
      </x:c>
      <x:c r="H8" s="103" t="n">
        <x:v>217</x:v>
      </x:c>
      <x:c r="I8" s="104"/>
      <x:c r="J8" s="105" t="str"/>
      <x:c r="K8" s="106"/>
      <x:c r="L8" s="102" t="str">
        <x:v>d249b382403281050fb71cb377508202d1af264a46d152b30c09ffa11c730372</x:v>
      </x:c>
    </x:row>
    <x:row r="9" ht="46" customHeight="1">
      <x:c r="A9" s="107" t="n">
        <x:v>4</x:v>
      </x:c>
      <x:c r="B9" s="107" t="str">
        <x:v>P2</x:v>
      </x:c>
      <x:c r="C9" s="108" t="str">
        <x:v>P2_1_EXPLOIT_LAYERWISE_QUADRATIC</x:v>
      </x:c>
      <x:c r="D9" s="108" t="str">
        <x:v>EXACT_PUBLIC_AXIS_EXPLOIT</x:v>
      </x:c>
      <x:c r="E9" s="108" t="str">
        <x:v>P2 공식 층별 이차최적 U v1</x:v>
      </x:c>
      <x:c r="F9" s="108" t="str">
        <x:v>26,061행 전체 공식 RMSE와 A−O 파일축으로 L2/L3/L4 최적 α를 각각 복원해 동시에 적용했습니다.</x:v>
      </x:c>
      <x:c r="G9" s="109" t="n">
        <x:v>26061</x:v>
      </x:c>
      <x:c r="H9" s="109" t="n">
        <x:v>26061</x:v>
      </x:c>
      <x:c r="I9" s="110"/>
      <x:c r="J9" s="111" t="str"/>
      <x:c r="K9" s="112" t="n">
        <x:v>0.5357504803611377</x:v>
      </x:c>
      <x:c r="L9" s="108" t="str">
        <x:v>13181dff0e749a1ea6dac7327b4ea34b8a7efd57a2f57170ba0d206f919cf592</x:v>
      </x:c>
    </x:row>
    <x:row r="10" ht="46" customHeight="1">
      <x:c r="A10" s="107" t="n">
        <x:v>5</x:v>
      </x:c>
      <x:c r="B10" s="107" t="str">
        <x:v>P2</x:v>
      </x:c>
      <x:c r="C10" s="108" t="str">
        <x:v>P2_2_PROBE_ENDPOINT_ENVELOPE</x:v>
      </x:c>
      <x:c r="D10" s="108" t="str">
        <x:v>PHYSICAL_POSTPROCESS_ABLATION</x:v>
      </x:c>
      <x:c r="E10" s="108" t="str">
        <x:v>P2 층별 최적 U + endpoint envelope v1</x:v>
      </x:c>
      <x:c r="F10" s="108" t="str">
        <x:v>층별 최적 U를 공개 layer 1·5 수온 범위로만 clip해 안전한 envelope 효과를 분리합니다.</x:v>
      </x:c>
      <x:c r="G10" s="109" t="n">
        <x:v>26061</x:v>
      </x:c>
      <x:c r="H10" s="109" t="n">
        <x:v>21180</x:v>
      </x:c>
      <x:c r="I10" s="110"/>
      <x:c r="J10" s="111" t="str"/>
      <x:c r="K10" s="112"/>
      <x:c r="L10" s="108" t="str">
        <x:v>f0298212b4be3552597524dab7d876128eacebb4333efe9ccc61becfcb5d72b7</x:v>
      </x:c>
    </x:row>
    <x:row r="11" ht="46" customHeight="1">
      <x:c r="A11" s="107" t="n">
        <x:v>6</x:v>
      </x:c>
      <x:c r="B11" s="107" t="str">
        <x:v>P2</x:v>
      </x:c>
      <x:c r="C11" s="108" t="str">
        <x:v>P2_3_PROBE_FULL_PAVA_ENVELOPE</x:v>
      </x:c>
      <x:c r="D11" s="108" t="str">
        <x:v>PHYSICAL_POSTPROCESS_ABLATION</x:v>
      </x:c>
      <x:c r="E11" s="108" t="str">
        <x:v>P2 층별 최적 U + PAVA·envelope v1</x:v>
      </x:c>
      <x:c r="F11" s="108" t="str">
        <x:v>층별 최적 U에 현재 unit-weight PAVA와 공개 layer 1·5 envelope를 함께 적용해 단조 제약의 순효과를 측정합니다.</x:v>
      </x:c>
      <x:c r="G11" s="109" t="n">
        <x:v>26061</x:v>
      </x:c>
      <x:c r="H11" s="109" t="n">
        <x:v>19418</x:v>
      </x:c>
      <x:c r="I11" s="110"/>
      <x:c r="J11" s="111" t="str"/>
      <x:c r="K11" s="112"/>
      <x:c r="L11" s="108" t="str">
        <x:v>a6ef13c1b2d93b498202f8f3c3a12e066dfbebbc13649df516d5bed107ce0571</x:v>
      </x:c>
    </x:row>
    <x:row r="12" ht="46" customHeight="1">
      <x:c r="A12" s="113" t="n">
        <x:v>7</x:v>
      </x:c>
      <x:c r="B12" s="113" t="str">
        <x:v>P3</x:v>
      </x:c>
      <x:c r="C12" s="114" t="str">
        <x:v>P3_1_EXPLOIT_LONG_NEG2</x:v>
      </x:c>
      <x:c r="D12" s="114" t="str">
        <x:v>EXPLOIT_AND_ADDITIVITY_GUARD</x:v>
      </x:c>
      <x:c r="E12" s="114" t="str">
        <x:v>P3 O-A 역방향 12·18·24h α=-2 v1</x:v>
      </x:c>
      <x:c r="F12" s="114" t="str">
        <x:v>검증된 12h와 18·24h 역방향 보정을 합쳐 early 60행을 exact no-op으로 유지합니다.</x:v>
      </x:c>
      <x:c r="G12" s="115" t="n">
        <x:v>1200</x:v>
      </x:c>
      <x:c r="H12" s="115" t="n">
        <x:v>600</x:v>
      </x:c>
      <x:c r="I12" s="116" t="n">
        <x:v>-2</x:v>
      </x:c>
      <x:c r="J12" s="117" t="str">
        <x:v>12/18/24</x:v>
      </x:c>
      <x:c r="K12" s="118" t="n">
        <x:v>0.5989869937185615</x:v>
      </x:c>
      <x:c r="L12" s="114" t="str">
        <x:v>73a6a5ae5dd4d88bc40a0c00b7b66b60b3da239acaf554343d3cccba38bd0ab5</x:v>
      </x:c>
    </x:row>
    <x:row r="13" ht="46" customHeight="1">
      <x:c r="A13" s="113" t="n">
        <x:v>8</x:v>
      </x:c>
      <x:c r="B13" s="113" t="str">
        <x:v>P3</x:v>
      </x:c>
      <x:c r="C13" s="114" t="str">
        <x:v>P3_2_PROBE_LONG_NEG4</x:v>
      </x:c>
      <x:c r="D13" s="114" t="str">
        <x:v>PUBLIC_CURVATURE_PROBE</x:v>
      </x:c>
      <x:c r="E13" s="114" t="str">
        <x:v>P3 O-A 역방향 12·18·24h α=-4 v1</x:v>
      </x:c>
      <x:c r="F13" s="114" t="str">
        <x:v>동일 long-lead 축을 α=-4로 확장해 숨은 66-case Public 곡률을 bounded하게 식별합니다.</x:v>
      </x:c>
      <x:c r="G13" s="115" t="n">
        <x:v>1200</x:v>
      </x:c>
      <x:c r="H13" s="115" t="n">
        <x:v>600</x:v>
      </x:c>
      <x:c r="I13" s="116" t="n">
        <x:v>-4</x:v>
      </x:c>
      <x:c r="J13" s="117" t="str">
        <x:v>12/18/24</x:v>
      </x:c>
      <x:c r="K13" s="118"/>
      <x:c r="L13" s="114" t="str">
        <x:v>9d74dac5a7d7c9cda5b46c286af4dc2239dbbfdca650700c8ac65d3ddb849d15</x:v>
      </x:c>
    </x:row>
    <x:row r="14" ht="46" customHeight="1">
      <x:c r="A14" s="113" t="n">
        <x:v>9</x:v>
      </x:c>
      <x:c r="B14" s="113" t="str">
        <x:v>P3</x:v>
      </x:c>
      <x:c r="C14" s="114" t="str">
        <x:v>P3_3_PROBE_LEAD18_24_NEG4</x:v>
      </x:c>
      <x:c r="D14" s="114" t="str">
        <x:v>PUBLIC_CURVATURE_PROBE</x:v>
      </x:c>
      <x:c r="E14" s="114" t="str">
        <x:v>P3 O-A 역방향 18·24h α=-4 v1</x:v>
      </x:c>
      <x:c r="F14" s="114" t="str">
        <x:v>18·24h에만 α=-4를 적용해 장기리드 곡률과 12h 기여를 분리합니다.</x:v>
      </x:c>
      <x:c r="G14" s="115" t="n">
        <x:v>1200</x:v>
      </x:c>
      <x:c r="H14" s="115" t="n">
        <x:v>400</x:v>
      </x:c>
      <x:c r="I14" s="116" t="n">
        <x:v>-4</x:v>
      </x:c>
      <x:c r="J14" s="117" t="str">
        <x:v>18/24</x:v>
      </x:c>
      <x:c r="K14" s="118"/>
      <x:c r="L14" s="114" t="str">
        <x:v>ba48386ad7746c28afba0f0cc562ed5166d6af62301ad95c210eb7aa8441b29f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4" hidden="0" customWidth="1"/>
    <x:col min="9" max="9" width="3" hidden="0" customWidth="1"/>
    <x:col min="10" max="10" width="23" hidden="0" customWidth="1"/>
    <x:col min="11" max="11" width="26" hidden="0" customWidth="1"/>
    <x:col min="12" max="12" width="16" hidden="0" customWidth="1"/>
    <x:col min="13" max="13" width="24" hidden="0" customWidth="1"/>
  </x:cols>
  <x:sheetData>
    <x:row r="1" ht="34" customHeight="1">
      <x:c r="A1" s="4" t="str">
        <x:v>P2/P3 공식 점수 대수</x:v>
      </x:c>
      <x:c r="B1" s="4" t="str">
        <x:v>P2/P3 공식 점수 대수</x:v>
      </x:c>
      <x:c r="C1" s="4" t="str">
        <x:v>P2/P3 공식 점수 대수</x:v>
      </x:c>
      <x:c r="D1" s="4" t="str">
        <x:v>P2/P3 공식 점수 대수</x:v>
      </x:c>
      <x:c r="E1" s="4" t="str">
        <x:v>P2/P3 공식 점수 대수</x:v>
      </x:c>
      <x:c r="F1" s="4" t="str">
        <x:v>P2/P3 공식 점수 대수</x:v>
      </x:c>
      <x:c r="G1" s="4" t="str">
        <x:v>P2/P3 공식 점수 대수</x:v>
      </x:c>
      <x:c r="H1" s="4" t="str">
        <x:v>P2/P3 공식 점수 대수</x:v>
      </x:c>
      <x:c r="I1" s="4" t="str">
        <x:v>P2/P3 공식 점수 대수</x:v>
      </x:c>
      <x:c r="J1" s="4" t="str">
        <x:v>P2/P3 공식 점수 대수</x:v>
      </x:c>
      <x:c r="K1" s="4" t="str">
        <x:v>P2/P3 공식 점수 대수</x:v>
      </x:c>
      <x:c r="L1" s="4" t="str">
        <x:v>P2/P3 공식 점수 대수</x:v>
      </x:c>
      <x:c r="M1" s="4" t="str">
        <x:v>P2/P3 공식 점수 대수</x:v>
      </x:c>
    </x:row>
    <x:row r="2" ht="28" customHeight="1">
      <x:c r="A2" s="8" t="str">
        <x:v>공식 점수와 파일축으로 재현 가능한 핵심 예측 · 입력은 값, 산출은 수식</x:v>
      </x:c>
      <x:c r="B2" s="8" t="str">
        <x:v>공식 점수와 파일축으로 재현 가능한 핵심 예측 · 입력은 값, 산출은 수식</x:v>
      </x:c>
      <x:c r="C2" s="8" t="str">
        <x:v>공식 점수와 파일축으로 재현 가능한 핵심 예측 · 입력은 값, 산출은 수식</x:v>
      </x:c>
      <x:c r="D2" s="8" t="str">
        <x:v>공식 점수와 파일축으로 재현 가능한 핵심 예측 · 입력은 값, 산출은 수식</x:v>
      </x:c>
      <x:c r="E2" s="8" t="str">
        <x:v>공식 점수와 파일축으로 재현 가능한 핵심 예측 · 입력은 값, 산출은 수식</x:v>
      </x:c>
      <x:c r="F2" s="8" t="str">
        <x:v>공식 점수와 파일축으로 재현 가능한 핵심 예측 · 입력은 값, 산출은 수식</x:v>
      </x:c>
      <x:c r="G2" s="8" t="str">
        <x:v>공식 점수와 파일축으로 재현 가능한 핵심 예측 · 입력은 값, 산출은 수식</x:v>
      </x:c>
      <x:c r="H2" s="8" t="str">
        <x:v>공식 점수와 파일축으로 재현 가능한 핵심 예측 · 입력은 값, 산출은 수식</x:v>
      </x:c>
      <x:c r="I2" s="8" t="str">
        <x:v>공식 점수와 파일축으로 재현 가능한 핵심 예측 · 입력은 값, 산출은 수식</x:v>
      </x:c>
      <x:c r="J2" s="8" t="str">
        <x:v>공식 점수와 파일축으로 재현 가능한 핵심 예측 · 입력은 값, 산출은 수식</x:v>
      </x:c>
      <x:c r="K2" s="8" t="str">
        <x:v>공식 점수와 파일축으로 재현 가능한 핵심 예측 · 입력은 값, 산출은 수식</x:v>
      </x:c>
      <x:c r="L2" s="8" t="str">
        <x:v>공식 점수와 파일축으로 재현 가능한 핵심 예측 · 입력은 값, 산출은 수식</x:v>
      </x:c>
      <x:c r="M2" s="8" t="str">
        <x:v>공식 점수와 파일축으로 재현 가능한 핵심 예측 · 입력은 값, 산출은 수식</x:v>
      </x:c>
    </x:row>
    <x:row r="4" ht="24" customHeight="1">
      <x:c r="A4" s="11" t="str">
        <x:v>P2 layerwise quadratic</x:v>
      </x:c>
      <x:c r="B4" s="11" t="str">
        <x:v>P2 layerwise quadratic</x:v>
      </x:c>
      <x:c r="C4" s="11" t="str">
        <x:v>P2 layerwise quadratic</x:v>
      </x:c>
      <x:c r="D4" s="11" t="str">
        <x:v>P2 layerwise quadratic</x:v>
      </x:c>
      <x:c r="E4" s="11" t="str">
        <x:v>P2 layerwise quadratic</x:v>
      </x:c>
      <x:c r="F4" s="11" t="str">
        <x:v>P2 layerwise quadratic</x:v>
      </x:c>
      <x:c r="G4" s="11" t="str">
        <x:v>P2 layerwise quadratic</x:v>
      </x:c>
      <x:c r="H4" s="11" t="str">
        <x:v>P2 layerwise quadratic</x:v>
      </x:c>
      <x:c r="J4" s="11" t="str">
        <x:v>P3 disjoint-support guard</x:v>
      </x:c>
      <x:c r="K4" s="11" t="str">
        <x:v>P3 disjoint-support guard</x:v>
      </x:c>
      <x:c r="L4" s="11" t="str">
        <x:v>P3 disjoint-support guard</x:v>
      </x:c>
      <x:c r="M4" s="11" t="str">
        <x:v>P3 disjoint-support guard</x:v>
      </x:c>
    </x:row>
    <x:row r="5" ht="30" customHeight="1">
      <x:c r="A5" s="51" t="str">
        <x:v>Layer</x:v>
      </x:c>
      <x:c r="B5" s="51" t="str">
        <x:v>Rows</x:v>
      </x:c>
      <x:c r="C5" s="51" t="str">
        <x:v>a</x:v>
      </x:c>
      <x:c r="D5" s="51" t="str">
        <x:v>b</x:v>
      </x:c>
      <x:c r="E5" s="51" t="str">
        <x:v>alpha*</x:v>
      </x:c>
      <x:c r="F5" s="51" t="str">
        <x:v>low</x:v>
      </x:c>
      <x:c r="G5" s="51" t="str">
        <x:v>high</x:v>
      </x:c>
      <x:c r="H5" s="51" t="str">
        <x:v>delta MSE at alpha*</x:v>
      </x:c>
      <x:c r="J5" s="51" t="str">
        <x:v>Metric</x:v>
      </x:c>
      <x:c r="K5" s="51" t="str">
        <x:v>Value</x:v>
      </x:c>
      <x:c r="M5" s="32" t="str">
        <x:v>L18/24 -2 RMSE</x:v>
      </x:c>
    </x:row>
    <x:row r="6">
      <x:c r="A6" s="119" t="n">
        <x:v>2</x:v>
      </x:c>
      <x:c r="B6" s="119" t="n">
        <x:v>8713</x:v>
      </x:c>
      <x:c r="C6" s="121" t="n">
        <x:v>0.012665816716878496</x:v>
      </x:c>
      <x:c r="D6" s="121" t="n">
        <x:v>-0.003654275701025412</x:v>
      </x:c>
      <x:c r="E6" s="121" t="n">
        <x:f>-D6/(2*C6)</x:f>
        <x:v>0.14425740489974548</x:v>
      </x:c>
      <x:c r="F6" s="121" t="n">
        <x:v>0.14398847953374178</x:v>
      </x:c>
      <x:c r="G6" s="121" t="n">
        <x:v>0.14452633026577671</x:v>
      </x:c>
      <x:c r="H6" s="121" t="n">
        <x:f>D6*E6+C6*E6^2</x:f>
        <x:v>-0.0002635781647090621</x:v>
      </x:c>
      <x:c r="J6" s="57" t="str">
        <x:v>O RMSE</x:v>
      </x:c>
      <x:c r="K6" s="121" t="n">
        <x:v>0.607071</x:v>
      </x:c>
      <x:c r="M6" s="129" t="n">
        <x:v>0.599382</x:v>
      </x:c>
    </x:row>
    <x:row r="7">
      <x:c r="A7" s="120" t="n">
        <x:v>3</x:v>
      </x:c>
      <x:c r="B7" s="120" t="n">
        <x:v>8712</x:v>
      </x:c>
      <x:c r="C7" s="122" t="n">
        <x:v>0.03383419161059072</x:v>
      </x:c>
      <x:c r="D7" s="122" t="n">
        <x:v>0.006305208083963751</x:v>
      </x:c>
      <x:c r="E7" s="122" t="n">
        <x:f>-D7/(2*C7)</x:f>
        <x:v>-0.09317805131171075</x:v>
      </x:c>
      <x:c r="F7" s="122" t="n">
        <x:v>-0.09337853772512304</x:v>
      </x:c>
      <x:c r="G7" s="122" t="n">
        <x:v>-0.09297756489830361</x:v>
      </x:c>
      <x:c r="H7" s="122" t="n">
        <x:f>D7*E7+C7*E7^2</x:f>
        <x:v>-0.00029375350118929396</x:v>
      </x:c>
      <x:c r="J7" s="58" t="str">
        <x:v>L12 -2 RMSE</x:v>
      </x:c>
      <x:c r="K7" s="122" t="n">
        <x:v>0.606681</x:v>
      </x:c>
    </x:row>
    <x:row r="8">
      <x:c r="A8" s="120" t="n">
        <x:v>4</x:v>
      </x:c>
      <x:c r="B8" s="120" t="n">
        <x:v>8636</x:v>
      </x:c>
      <x:c r="C8" s="122" t="n">
        <x:v>0.12030084546746185</x:v>
      </x:c>
      <x:c r="D8" s="122" t="n">
        <x:v>0.04996033259426985</x:v>
      </x:c>
      <x:c r="E8" s="122" t="n">
        <x:f>-D8/(2*C8)</x:f>
        <x:v>-0.207647470805942</x:v>
      </x:c>
      <x:c r="F8" s="122" t="n">
        <x:v>-0.20767564380465675</x:v>
      </x:c>
      <x:c r="G8" s="122" t="n">
        <x:v>-0.20761929780722727</x:v>
      </x:c>
      <x:c r="H8" s="122" t="n">
        <x:f>D8*E8+C8*E8^2</x:f>
        <x:v>-0.005187068351911901</x:v>
      </x:c>
      <x:c r="J8" s="58" t="str">
        <x:v>C1 predicted RMSE</x:v>
      </x:c>
      <x:c r="K8" s="122" t="n">
        <x:f>SQRT(K7^2+M6^2-K6^2)</x:f>
        <x:v>0.5989869937185615</x:v>
      </x:c>
    </x:row>
    <x:row r="9">
      <x:c r="J9" s="58" t="str">
        <x:v>C1 lower</x:v>
      </x:c>
      <x:c r="K9" s="122" t="n">
        <x:v>0.5989854802165493</x:v>
      </x:c>
    </x:row>
    <x:row r="10" ht="30" customHeight="1">
      <x:c r="A10" s="51" t="str">
        <x:v>Input / result</x:v>
      </x:c>
      <x:c r="B10" s="51" t="str">
        <x:v>Value</x:v>
      </x:c>
      <x:c r="J10" s="58" t="str">
        <x:v>C1 upper</x:v>
      </x:c>
      <x:c r="K10" s="122" t="n">
        <x:v>0.5989885072171668</x:v>
      </x:c>
    </x:row>
    <x:row r="11">
      <x:c r="A11" s="57" t="str">
        <x:v>O official RMSE</x:v>
      </x:c>
      <x:c r="B11" s="121" t="n">
        <x:v>0.541085</x:v>
      </x:c>
    </x:row>
    <x:row r="12" ht="30" customHeight="1">
      <x:c r="A12" s="58" t="str">
        <x:v>Predicted U RMSE</x:v>
      </x:c>
      <x:c r="B12" s="122" t="n">
        <x:f>SQRT(B11^2+SUM(H6:H8))</x:f>
        <x:v>0.5357504803611377</x:v>
      </x:c>
      <x:c r="J12" s="51" t="str">
        <x:v>P3 axis erratum</x:v>
      </x:c>
      <x:c r="K12" s="51"/>
      <x:c r="L12" s="51"/>
      <x:c r="M12" s="51"/>
    </x:row>
    <x:row r="13">
      <x:c r="A13" s="58" t="str">
        <x:v>Current L4 best RMSE</x:v>
      </x:c>
      <x:c r="B13" s="122" t="n">
        <x:v>0.536536</x:v>
      </x:c>
      <x:c r="J13" s="57" t="str">
        <x:v>Old claim</x:v>
      </x:c>
      <x:c r="K13" s="57" t="str">
        <x:v>B=(O+A)/2 on all 1,200 rows</x:v>
      </x:c>
      <x:c r="L13" s="57"/>
      <x:c r="M13" s="57"/>
    </x:row>
    <x:row r="14">
      <x:c r="A14" s="58" t="str">
        <x:v>Gain vs current best</x:v>
      </x:c>
      <x:c r="B14" s="122" t="n">
        <x:f>B13-B12</x:f>
        <x:v>0.0007855196388623087</x:v>
      </x:c>
      <x:c r="J14" s="58" t="str">
        <x:v>Correct</x:v>
      </x:c>
      <x:c r="K14" s="58" t="str">
        <x:v>B midpoint only at 12/18/24h; B=O at 3/6/9h</x:v>
      </x:c>
      <x:c r="L14" s="58"/>
      <x:c r="M14" s="58"/>
    </x:row>
    <x:row r="15">
      <x:c r="A15" s="58" t="str">
        <x:v>Formula check target</x:v>
      </x:c>
      <x:c r="B15" s="122" t="n">
        <x:v>0.5357504803611377</x:v>
      </x:c>
      <x:c r="J15" s="58" t="str">
        <x:v>Global RMS off-axis</x:v>
      </x:c>
      <x:c r="K15" s="122" t="n">
        <x:v>0.00019365428951460554</x:v>
      </x:c>
      <x:c r="L15" s="58"/>
      <x:c r="M15" s="58"/>
    </x:row>
    <x:row r="16">
      <x:c r="J16" s="58" t="str">
        <x:v>Rule</x:v>
      </x:c>
      <x:c r="K16" s="58" t="str">
        <x:v>C1 miss ⇒ keep rankings, stop curve extrapolation</x:v>
      </x:c>
      <x:c r="L16" s="58"/>
      <x:c r="M16" s="58"/>
    </x:row>
  </x:sheetData>
  <x:mergeCells>
    <x:mergeCell ref="A1:M1"/>
    <x:mergeCell ref="A2:M2"/>
    <x:mergeCell ref="A4:H4"/>
    <x:mergeCell ref="J4:M4"/>
    <x:mergeCell ref="K12:M12"/>
    <x:mergeCell ref="K13:M13"/>
    <x:mergeCell ref="K14:M14"/>
    <x:mergeCell ref="K15:M15"/>
    <x:mergeCell ref="K16:M1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9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4" customHeight="1">
      <x:c r="A1" s="4" t="str">
        <x:v>Protocol &amp; source register</x:v>
      </x:c>
      <x:c r="B1" s="4" t="str">
        <x:v>Protocol &amp; source register</x:v>
      </x:c>
      <x:c r="C1" s="4" t="str">
        <x:v>Protocol &amp; source register</x:v>
      </x:c>
      <x:c r="D1" s="4" t="str">
        <x:v>Protocol &amp; source register</x:v>
      </x:c>
      <x:c r="E1" s="4" t="str">
        <x:v>Protocol &amp; source register</x:v>
      </x:c>
      <x:c r="F1" s="4" t="str">
        <x:v>Protocol &amp; source register</x:v>
      </x:c>
      <x:c r="G1" s="4" t="str">
        <x:v>Protocol &amp; source register</x:v>
      </x:c>
      <x:c r="H1" s="4" t="str">
        <x:v>Protocol &amp; source register</x:v>
      </x:c>
    </x:row>
    <x:row r="2" ht="28" customHeight="1">
      <x:c r="A2" s="8" t="str">
        <x:v>사전등록 제출 규칙, 해석 중단 조건, 외부 1차 출처</x:v>
      </x:c>
      <x:c r="B2" s="8" t="str">
        <x:v>사전등록 제출 규칙, 해석 중단 조건, 외부 1차 출처</x:v>
      </x:c>
      <x:c r="C2" s="8" t="str">
        <x:v>사전등록 제출 규칙, 해석 중단 조건, 외부 1차 출처</x:v>
      </x:c>
      <x:c r="D2" s="8" t="str">
        <x:v>사전등록 제출 규칙, 해석 중단 조건, 외부 1차 출처</x:v>
      </x:c>
      <x:c r="E2" s="8" t="str">
        <x:v>사전등록 제출 규칙, 해석 중단 조건, 외부 1차 출처</x:v>
      </x:c>
      <x:c r="F2" s="8" t="str">
        <x:v>사전등록 제출 규칙, 해석 중단 조건, 외부 1차 출처</x:v>
      </x:c>
      <x:c r="G2" s="8" t="str">
        <x:v>사전등록 제출 규칙, 해석 중단 조건, 외부 1차 출처</x:v>
      </x:c>
      <x:c r="H2" s="8" t="str">
        <x:v>사전등록 제출 규칙, 해석 중단 조건, 외부 1차 출처</x:v>
      </x:c>
    </x:row>
    <x:row r="4" ht="24" customHeight="1">
      <x:c r="A4" s="11" t="str">
        <x:v>Blind batch protocol</x:v>
      </x:c>
      <x:c r="B4" s="11" t="str">
        <x:v>Blind batch protocol</x:v>
      </x:c>
      <x:c r="C4" s="11" t="str">
        <x:v>Blind batch protocol</x:v>
      </x:c>
      <x:c r="D4" s="11" t="str">
        <x:v>Blind batch protocol</x:v>
      </x:c>
      <x:c r="E4" s="11" t="str">
        <x:v>Blind batch protocol</x:v>
      </x:c>
      <x:c r="F4" s="11" t="str">
        <x:v>Blind batch protocol</x:v>
      </x:c>
      <x:c r="G4" s="11" t="str">
        <x:v>Blind batch protocol</x:v>
      </x:c>
      <x:c r="H4" s="11" t="str">
        <x:v>Blind batch protocol</x:v>
      </x:c>
    </x:row>
    <x:row r="5">
      <x:c r="A5" s="73" t="n">
        <x:v>1</x:v>
      </x:c>
      <x:c r="B5" s="57" t="str">
        <x:v>2026-08-27 제출 기회가 문제별 3/3으로 초기화됐는지 확인</x:v>
      </x:c>
      <x:c r="C5" s="57"/>
      <x:c r="D5" s="57"/>
      <x:c r="E5" s="57"/>
      <x:c r="F5" s="57"/>
      <x:c r="G5" s="57"/>
      <x:c r="H5" s="57"/>
    </x:row>
    <x:row r="6">
      <x:c r="A6" s="74" t="n">
        <x:v>2</x:v>
      </x:c>
      <x:c r="B6" s="58" t="str">
        <x:v>fresh process에서 9개 후보 파일과 manifest SHA-256 재검증</x:v>
      </x:c>
      <x:c r="C6" s="58"/>
      <x:c r="D6" s="58"/>
      <x:c r="E6" s="58"/>
      <x:c r="F6" s="58"/>
      <x:c r="G6" s="58"/>
      <x:c r="H6" s="58"/>
    </x:row>
    <x:row r="7">
      <x:c r="A7" s="74" t="n">
        <x:v>3</x:v>
      </x:c>
      <x:c r="B7" s="58" t="str">
        <x:v>사용자의 새 명시 승인 직후에만 업로드 시작</x:v>
      </x:c>
      <x:c r="C7" s="58"/>
      <x:c r="D7" s="58"/>
      <x:c r="E7" s="58"/>
      <x:c r="F7" s="58"/>
      <x:c r="G7" s="58"/>
      <x:c r="H7" s="58"/>
    </x:row>
    <x:row r="8">
      <x:c r="A8" s="74" t="n">
        <x:v>4</x:v>
      </x:c>
      <x:c r="B8" s="58" t="str">
        <x:v>P1 1→3, P2 1→3, P3 1→3 순서로 중간 점수 확인 없이 연속 제출</x:v>
      </x:c>
      <x:c r="C8" s="58"/>
      <x:c r="D8" s="58"/>
      <x:c r="E8" s="58"/>
      <x:c r="F8" s="58"/>
      <x:c r="G8" s="58"/>
      <x:c r="H8" s="58"/>
    </x:row>
    <x:row r="9">
      <x:c r="A9" s="74" t="n">
        <x:v>5</x:v>
      </x:c>
      <x:c r="B9" s="58" t="str">
        <x:v>모든 점수가 나온 뒤 ledger에 후보명·시간·점수·hash 기록</x:v>
      </x:c>
      <x:c r="C9" s="58"/>
      <x:c r="D9" s="58"/>
      <x:c r="E9" s="58"/>
      <x:c r="F9" s="58"/>
      <x:c r="G9" s="58"/>
      <x:c r="H9" s="58"/>
    </x:row>
    <x:row r="10">
      <x:c r="A10" s="74" t="n">
        <x:v>6</x:v>
      </x:c>
      <x:c r="B10" s="58" t="str">
        <x:v>P2/P3 guard miss 시 추가 외삽 중단 및 score↔file 계보 감사</x:v>
      </x:c>
      <x:c r="C10" s="58"/>
      <x:c r="D10" s="58"/>
      <x:c r="E10" s="58"/>
      <x:c r="F10" s="58"/>
      <x:c r="G10" s="58"/>
      <x:c r="H10" s="58"/>
    </x:row>
    <x:row r="12" ht="24" customHeight="1">
      <x:c r="A12" s="11" t="str">
        <x:v>External primary sources</x:v>
      </x:c>
      <x:c r="B12" s="11" t="str">
        <x:v>External primary sources</x:v>
      </x:c>
      <x:c r="C12" s="11" t="str">
        <x:v>External primary sources</x:v>
      </x:c>
      <x:c r="D12" s="11" t="str">
        <x:v>External primary sources</x:v>
      </x:c>
      <x:c r="E12" s="11" t="str">
        <x:v>External primary sources</x:v>
      </x:c>
      <x:c r="F12" s="11" t="str">
        <x:v>External primary sources</x:v>
      </x:c>
      <x:c r="G12" s="11" t="str">
        <x:v>External primary sources</x:v>
      </x:c>
      <x:c r="H12" s="11" t="str">
        <x:v>External primary sources</x:v>
      </x:c>
    </x:row>
    <x:row r="13" ht="30" customHeight="1">
      <x:c r="A13" s="51" t="str">
        <x:v>Problem</x:v>
      </x:c>
      <x:c r="B13" s="51" t="str">
        <x:v>Evidence</x:v>
      </x:c>
      <x:c r="C13" s="51" t="str">
        <x:v>Source URL</x:v>
      </x:c>
    </x:row>
    <x:row r="14" ht="32" customHeight="1">
      <x:c r="A14" s="57" t="str">
        <x:v>P1</x:v>
      </x:c>
      <x:c r="B14" s="57" t="str">
        <x:v>Range precision/recall</x:v>
      </x:c>
      <x:c r="C14" s="57" t="str">
        <x:v>https://proceedings.neurips.cc/paper_files/paper/2018/hash/8f468c873a32bb0619eaeb2050ba45d1-Abstract.html</x:v>
      </x:c>
    </x:row>
    <x:row r="15" ht="32" customHeight="1">
      <x:c r="A15" s="58" t="str">
        <x:v>P1</x:v>
      </x:c>
      <x:c r="B15" s="58" t="str">
        <x:v>F1 threshold dependence</x:v>
      </x:c>
      <x:c r="C15" s="58" t="str">
        <x:v>https://mlanthology.org/ecmlpkdd/2014/lipton2014ecmlpkdd-optimal/</x:v>
      </x:c>
    </x:row>
    <x:row r="16" ht="32" customHeight="1">
      <x:c r="A16" s="58" t="str">
        <x:v>P1</x:v>
      </x:c>
      <x:c r="B16" s="58" t="str">
        <x:v>CAPA</x:v>
      </x:c>
      <x:c r="C16" s="58" t="str">
        <x:v>https://onlinelibrary.wiley.com/doi/full/10.1002/sam.11586</x:v>
      </x:c>
    </x:row>
    <x:row r="17" ht="32" customHeight="1">
      <x:c r="A17" s="58" t="str">
        <x:v>P1</x:v>
      </x:c>
      <x:c r="B17" s="58" t="str">
        <x:v>CPOP</x:v>
      </x:c>
      <x:c r="C17" s="58" t="str">
        <x:v>https://www.jstatsoft.org/article/view/v109i07</x:v>
      </x:c>
    </x:row>
    <x:row r="18" ht="32" customHeight="1">
      <x:c r="A18" s="58" t="str">
        <x:v>P1</x:v>
      </x:c>
      <x:c r="B18" s="58" t="str">
        <x:v>changeforest</x:v>
      </x:c>
      <x:c r="C18" s="58" t="str">
        <x:v>https://www.jmlr.org/papers/v24/22-0512.html</x:v>
      </x:c>
    </x:row>
    <x:row r="19" ht="32" customHeight="1">
      <x:c r="A19" s="58" t="str">
        <x:v>P2</x:v>
      </x:c>
      <x:c r="B19" s="58" t="str">
        <x:v>PACE</x:v>
      </x:c>
      <x:c r="C19" s="58" t="str">
        <x:v>https://utstat.utoronto.ca/fyao/2005-jasa.pdf</x:v>
      </x:c>
    </x:row>
    <x:row r="20" ht="32" customHeight="1">
      <x:c r="A20" s="58" t="str">
        <x:v>P2</x:v>
      </x:c>
      <x:c r="B20" s="58" t="str">
        <x:v>TEOS-10 N²</x:v>
      </x:c>
      <x:c r="C20" s="58" t="str">
        <x:v>https://www.teos-10.org/pubs/gsw/v3_04/html/gsw_Nsquared.html</x:v>
      </x:c>
    </x:row>
    <x:row r="21" ht="32" customHeight="1">
      <x:c r="A21" s="58" t="str">
        <x:v>P2</x:v>
      </x:c>
      <x:c r="B21" s="58" t="str">
        <x:v>Temperature inversion</x:v>
      </x:c>
      <x:c r="C21" s="58" t="str">
        <x:v>https://agupubs.onlinelibrary.wiley.com/doi/10.1029/2010JC006297</x:v>
      </x:c>
    </x:row>
    <x:row r="22" ht="32" customHeight="1">
      <x:c r="A22" s="58" t="str">
        <x:v>P2</x:v>
      </x:c>
      <x:c r="B22" s="58" t="str">
        <x:v>DeepONet</x:v>
      </x:c>
      <x:c r="C22" s="58" t="str">
        <x:v>https://doi.org/10.1038/s42256-021-00302-5</x:v>
      </x:c>
    </x:row>
    <x:row r="23" ht="32" customHeight="1">
      <x:c r="A23" s="58" t="str">
        <x:v>P3</x:v>
      </x:c>
      <x:c r="B23" s="58" t="str">
        <x:v>Multi-step forecasting</x:v>
      </x:c>
      <x:c r="C23" s="58" t="str">
        <x:v>https://proceedings.mlr.press/v32/taieb14.html</x:v>
      </x:c>
    </x:row>
    <x:row r="24" ht="32" customHeight="1">
      <x:c r="A24" s="58" t="str">
        <x:v>P3</x:v>
      </x:c>
      <x:c r="B24" s="58" t="str">
        <x:v>Lead-continuous postprocess</x:v>
      </x:c>
      <x:c r="C24" s="58" t="str">
        <x:v>https://doi.org/10.1002/qj.4701</x:v>
      </x:c>
    </x:row>
    <x:row r="25" ht="32" customHeight="1">
      <x:c r="A25" s="58" t="str">
        <x:v>P3</x:v>
      </x:c>
      <x:c r="B25" s="58" t="str">
        <x:v>RevIN</x:v>
      </x:c>
      <x:c r="C25" s="58" t="str">
        <x:v>https://openreview.net/pdf?id=cGDAkQo1C0p</x:v>
      </x:c>
    </x:row>
    <x:row r="26" ht="32" customHeight="1">
      <x:c r="A26" s="58" t="str">
        <x:v>Eval</x:v>
      </x:c>
      <x:c r="B26" s="58" t="str">
        <x:v>Importance-weighted CV</x:v>
      </x:c>
      <x:c r="C26" s="58" t="str">
        <x:v>https://www.jmlr.org/papers/v8/sugiyama07a.html</x:v>
      </x:c>
    </x:row>
    <x:row r="27" ht="32" customHeight="1">
      <x:c r="A27" s="58" t="str">
        <x:v>Eval</x:v>
      </x:c>
      <x:c r="B27" s="58" t="str">
        <x:v>Wild-Time</x:v>
      </x:c>
      <x:c r="C27" s="58" t="str">
        <x:v>https://proceedings.neurips.cc/paper_files/paper/2022/hash/43119db5d59f07cc08fca7ba6820179a-Abstract-Datasets_and_Benchmarks.html</x:v>
      </x:c>
    </x:row>
    <x:row r="28" ht="32" customHeight="1">
      <x:c r="A28" s="58" t="str">
        <x:v>Eval</x:v>
      </x:c>
      <x:c r="B28" s="58" t="str">
        <x:v>The Ladder</x:v>
      </x:c>
      <x:c r="C28" s="58" t="str">
        <x:v>https://proceedings.mlr.press/v37/blum15.html</x:v>
      </x:c>
    </x:row>
  </x:sheetData>
  <x:mergeCells>
    <x:mergeCell ref="A1:H1"/>
    <x:mergeCell ref="A2:H2"/>
    <x:mergeCell ref="A4:H4"/>
    <x:mergeCell ref="B5:H5"/>
    <x:mergeCell ref="B6:H6"/>
    <x:mergeCell ref="B7:H7"/>
    <x:mergeCell ref="B8:H8"/>
    <x:mergeCell ref="B9:H9"/>
    <x:mergeCell ref="B10:H10"/>
    <x:mergeCell ref="A12:H12"/>
  </x:mergeCells>
  <x:pageMargins left="0.7" right="0.7" top="0.75" bottom="0.75" header="0.3" footer="0.3"/>
</x:worksheet>
</file>